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Inputs" sheetId="2" r:id="rId2"/>
    <sheet name="Plan" sheetId="3" r:id="rId3"/>
    <sheet name="ShiftPlan" sheetId="4" r:id="rId4"/>
    <sheet name="Weekly" sheetId="5" r:id="rId5"/>
  </sheets>
  <definedNames>
    <definedName name="AbsentPct">Inputs!$B$26</definedName>
    <definedName name="AllowancePct">Inputs!$B$24</definedName>
    <definedName name="CompareTop">Dashboard!$A$15</definedName>
    <definedName name="DemandMult">Inputs!$B$6</definedName>
    <definedName name="EffShare">Inputs!$B$27</definedName>
    <definedName name="FlexFactor">Inputs!$B$37</definedName>
    <definedName name="FlexWage">Inputs!$B$42</definedName>
    <definedName name="IndirectPct">Inputs!$B$25</definedName>
    <definedName name="KPI_Cost">Dashboard!$B$5</definedName>
    <definedName name="KPI_CPU">Dashboard!$B$6</definedName>
    <definedName name="KPI_FlexDays">Dashboard!$B$9</definedName>
    <definedName name="KPI_FlexHC">Dashboard!$B$8</definedName>
    <definedName name="KPI_OT">Dashboard!$B$7</definedName>
    <definedName name="KPI_Units">Dashboard!$B$4</definedName>
    <definedName name="KPI_Util">Dashboard!$B$10</definedName>
    <definedName name="OTCapHrs">Inputs!$B$34</definedName>
    <definedName name="OTEff">Inputs!$B$36</definedName>
    <definedName name="OTMult">Inputs!$B$41</definedName>
    <definedName name="OTTakeUp">Inputs!$B$35</definedName>
    <definedName name="_xlnm.Print_Titles" localSheetId="2">Plan!$4:$4</definedName>
    <definedName name="_xlnm.Print_Titles" localSheetId="3">ShiftPlan!$4:$4</definedName>
    <definedName name="Roster">Inputs!$B$30</definedName>
    <definedName name="Scenario">Inputs!$B$5</definedName>
    <definedName name="ScenMult">Inputs!$B$10:$B$12</definedName>
    <definedName name="ScenName">Inputs!$A$10:$A$12</definedName>
    <definedName name="Share_Pack">Inputs!$B$18</definedName>
    <definedName name="Share_Pick">Inputs!$B$17</definedName>
    <definedName name="Share_Ship">Inputs!$B$19</definedName>
    <definedName name="Share_Stow">Inputs!$B$16</definedName>
    <definedName name="ShareA">Inputs!$B$45</definedName>
    <definedName name="ShareB">Inputs!$B$46</definedName>
    <definedName name="ShareC">Inputs!$B$47</definedName>
    <definedName name="ShiftHrs">Inputs!$B$23</definedName>
    <definedName name="UPH_Pack">Inputs!$C$18</definedName>
    <definedName name="UPH_Pick">Inputs!$C$17</definedName>
    <definedName name="UPH_Ship">Inputs!$C$19</definedName>
    <definedName name="UPH_Stow">Inputs!$C$16</definedName>
    <definedName name="Wage">Inputs!$B$40</definedName>
    <definedName name="WorkDays">Inputs!$B$31</definedName>
  </definedNames>
  <calcPr calcId="124519" fullCalcOnLoad="1"/>
</workbook>
</file>

<file path=xl/sharedStrings.xml><?xml version="1.0" encoding="utf-8"?>
<sst xmlns="http://schemas.openxmlformats.org/spreadsheetml/2006/main" count="147" uniqueCount="120">
  <si>
    <t>Inputs and assumptions</t>
  </si>
  <si>
    <t>All figures are illustrative planning assumptions for a generic fulfilment centre, not data from any real site. Blue cells are inputs.</t>
  </si>
  <si>
    <t>Scenario</t>
  </si>
  <si>
    <t>Scenario (dropdown)</t>
  </si>
  <si>
    <t>Base</t>
  </si>
  <si>
    <t>Base, Peak or Low. Scales the forecast. The scenario buttons on the Dashboard set it too.</t>
  </si>
  <si>
    <t>Demand multiplier (from table)</t>
  </si>
  <si>
    <t>Scenario table</t>
  </si>
  <si>
    <t>Multiplier</t>
  </si>
  <si>
    <t>Peak</t>
  </si>
  <si>
    <t>Low</t>
  </si>
  <si>
    <t>Process standards</t>
  </si>
  <si>
    <t>Process</t>
  </si>
  <si>
    <t>Units per outbound unit</t>
  </si>
  <si>
    <t>UPH</t>
  </si>
  <si>
    <t>UPH = units handled per productive labour hour.</t>
  </si>
  <si>
    <t>Stow</t>
  </si>
  <si>
    <t>Pick</t>
  </si>
  <si>
    <t>Pack</t>
  </si>
  <si>
    <t>Ship</t>
  </si>
  <si>
    <t>Stow at 0.90: inbound stow volume runs a little below outbound units.</t>
  </si>
  <si>
    <t>Shift and shrinkage</t>
  </si>
  <si>
    <t>Paid shift length</t>
  </si>
  <si>
    <t>hours</t>
  </si>
  <si>
    <t>Paid hours per associate per working day.</t>
  </si>
  <si>
    <t>Breaks and allowances</t>
  </si>
  <si>
    <t>% of shift</t>
  </si>
  <si>
    <t>Paid time not spent on standard work (breaks, PPE, handover).</t>
  </si>
  <si>
    <t>Indirect / training time</t>
  </si>
  <si>
    <t>Meetings, training, 5S.</t>
  </si>
  <si>
    <t>Absenteeism</t>
  </si>
  <si>
    <t>% of roster</t>
  </si>
  <si>
    <t>Unplanned absence; absent associates are unpaid.</t>
  </si>
  <si>
    <t>Productive share of paid hours</t>
  </si>
  <si>
    <t>Calculated.</t>
  </si>
  <si>
    <t>Permanent workforce</t>
  </si>
  <si>
    <t>Permanent roster</t>
  </si>
  <si>
    <t>associates</t>
  </si>
  <si>
    <t>Cross-trained pool, assumed deployable to any process.</t>
  </si>
  <si>
    <t>Working days per week</t>
  </si>
  <si>
    <t>days</t>
  </si>
  <si>
    <t>Weekly off is rotated; average daily availability = roster x days / 7.</t>
  </si>
  <si>
    <t>Overtime and flex labour</t>
  </si>
  <si>
    <t>Max overtime per associate per day</t>
  </si>
  <si>
    <t>Cap on OT hours a present associate can work.</t>
  </si>
  <si>
    <t>Overtime take-up</t>
  </si>
  <si>
    <t>% of present</t>
  </si>
  <si>
    <t>Share of present associates who will take OT.</t>
  </si>
  <si>
    <t>Overtime productivity</t>
  </si>
  <si>
    <t>x</t>
  </si>
  <si>
    <t>Productive hours per paid OT hour.</t>
  </si>
  <si>
    <t>Flex productivity vs permanent</t>
  </si>
  <si>
    <t>Seasonal hires are slower in the first weeks.</t>
  </si>
  <si>
    <t>Cost</t>
  </si>
  <si>
    <t>Permanent wage</t>
  </si>
  <si>
    <t>INR / paid hr</t>
  </si>
  <si>
    <t>Fully loaded, illustrative.</t>
  </si>
  <si>
    <t>Overtime multiplier</t>
  </si>
  <si>
    <t>x wage</t>
  </si>
  <si>
    <t>Double rate, as under the Factories Act.</t>
  </si>
  <si>
    <t>Flex / agency wage</t>
  </si>
  <si>
    <t>Includes agency margin.</t>
  </si>
  <si>
    <t>Shift split of attending headcount</t>
  </si>
  <si>
    <t>Shift A (morning)</t>
  </si>
  <si>
    <t>%</t>
  </si>
  <si>
    <t>Must total 100%.</t>
  </si>
  <si>
    <t>Shift B (afternoon)</t>
  </si>
  <si>
    <t>Shift C (night)</t>
  </si>
  <si>
    <t>Daily labour plan</t>
  </si>
  <si>
    <t>Rows are formulas driven by Inputs. Permanent labour is used first, then overtime, then flex hires.</t>
  </si>
  <si>
    <t>Date</t>
  </si>
  <si>
    <t>Day</t>
  </si>
  <si>
    <t>Week</t>
  </si>
  <si>
    <t>Base forecast (units)</t>
  </si>
  <si>
    <t>Scenario units</t>
  </si>
  <si>
    <t>Stow hrs</t>
  </si>
  <si>
    <t>Pick hrs</t>
  </si>
  <si>
    <t>Pack hrs</t>
  </si>
  <si>
    <t>Ship hrs</t>
  </si>
  <si>
    <t>Required productive hrs</t>
  </si>
  <si>
    <t>Required HC (rostered)</t>
  </si>
  <si>
    <t>Permanent HC on roster</t>
  </si>
  <si>
    <t>Permanent productive hrs</t>
  </si>
  <si>
    <t>Shortfall hrs</t>
  </si>
  <si>
    <t>OT paid hrs</t>
  </si>
  <si>
    <t>OT productive hrs</t>
  </si>
  <si>
    <t>Flex productive hrs needed</t>
  </si>
  <si>
    <t>Flex HC</t>
  </si>
  <si>
    <t>Flex paid hrs</t>
  </si>
  <si>
    <t>Regular cost</t>
  </si>
  <si>
    <t>OT cost</t>
  </si>
  <si>
    <t>Flex cost</t>
  </si>
  <si>
    <t>Total cost</t>
  </si>
  <si>
    <t>Cost per unit</t>
  </si>
  <si>
    <t>Utilisation</t>
  </si>
  <si>
    <t>Action</t>
  </si>
  <si>
    <t>Attending headcount by shift</t>
  </si>
  <si>
    <t>Permanent associates present (after absenteeism) plus flex hires, split by the shift shares on Inputs. Shift C is the balancing figure so rows add up.</t>
  </si>
  <si>
    <t>Permanent present</t>
  </si>
  <si>
    <t>Total attending</t>
  </si>
  <si>
    <t>Shift A</t>
  </si>
  <si>
    <t>Shift B</t>
  </si>
  <si>
    <t>Shift C</t>
  </si>
  <si>
    <t>Weekly summary</t>
  </si>
  <si>
    <t>Starts</t>
  </si>
  <si>
    <t>Units</t>
  </si>
  <si>
    <t>Avg required HC</t>
  </si>
  <si>
    <t>Peak required HC</t>
  </si>
  <si>
    <t>Peak flex HC</t>
  </si>
  <si>
    <t>Fulfilment labour plan: 8-week view</t>
  </si>
  <si>
    <t>Units shipped</t>
  </si>
  <si>
    <t>Total labour cost</t>
  </si>
  <si>
    <t>Overtime paid hours</t>
  </si>
  <si>
    <t>Peak flex hires (one day)</t>
  </si>
  <si>
    <t>Days needing flex</t>
  </si>
  <si>
    <t>Average utilisation of roster</t>
  </si>
  <si>
    <t>Scenario comparison</t>
  </si>
  <si>
    <t>Refreshed by macro CompareScenarios. Values shown were calculated with the delivered inputs; re-run after changing Inputs.</t>
  </si>
  <si>
    <t>Avg utilisation</t>
  </si>
  <si>
    <t>Buttons run the macros in modLabourPlan.bas: import it once (Alt+F11, File, Import) and save as .xlsm.</t>
  </si>
</sst>
</file>

<file path=xl/styles.xml><?xml version="1.0" encoding="utf-8"?>
<styleSheet xmlns="http://schemas.openxmlformats.org/spreadsheetml/2006/main">
  <numFmts count="9">
    <numFmt numFmtId="164" formatCode="#,##0"/>
    <numFmt numFmtId="165" formatCode="[$₹-4009]#,##0"/>
    <numFmt numFmtId="166" formatCode="[$₹-4009]#,##0.00"/>
    <numFmt numFmtId="167" formatCode="0.0%"/>
    <numFmt numFmtId="168" formatCode="0.000"/>
    <numFmt numFmtId="169" formatCode="0.00"/>
    <numFmt numFmtId="170" formatCode="0%"/>
    <numFmt numFmtId="171" formatCode="dd-mmm-yy"/>
    <numFmt numFmtId="172" formatCode="#,##0.0"/>
  </numFmts>
  <fonts count="7">
    <font>
      <sz val="11"/>
      <color theme="1"/>
      <name val="Calibri"/>
      <family val="2"/>
      <scheme val="minor"/>
    </font>
    <font>
      <b/>
      <sz val="16"/>
      <color rgb="FF22303C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FE6"/>
        <bgColor indexed="64"/>
      </patternFill>
    </fill>
    <fill>
      <patternFill patternType="solid">
        <fgColor rgb="FF22303C"/>
        <bgColor indexed="64"/>
      </patternFill>
    </fill>
    <fill>
      <patternFill patternType="solid">
        <fgColor rgb="FFFFF9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0" xfId="0" applyFont="1"/>
    <xf numFmtId="0" fontId="6" fillId="4" borderId="1" xfId="0" applyFont="1" applyFill="1" applyBorder="1"/>
    <xf numFmtId="168" fontId="4" fillId="2" borderId="1" xfId="0" applyNumberFormat="1" applyFont="1" applyFill="1" applyBorder="1"/>
    <xf numFmtId="169" fontId="6" fillId="4" borderId="1" xfId="0" applyNumberFormat="1" applyFont="1" applyFill="1" applyBorder="1"/>
    <xf numFmtId="170" fontId="6" fillId="4" borderId="1" xfId="0" applyNumberFormat="1" applyFont="1" applyFill="1" applyBorder="1"/>
    <xf numFmtId="171" fontId="4" fillId="0" borderId="1" xfId="0" applyNumberFormat="1" applyFont="1" applyBorder="1"/>
    <xf numFmtId="164" fontId="6" fillId="0" borderId="1" xfId="0" applyNumberFormat="1" applyFont="1" applyBorder="1"/>
    <xf numFmtId="172" fontId="4" fillId="0" borderId="1" xfId="0" applyNumberFormat="1" applyFont="1" applyBorder="1"/>
  </cellXfs>
  <cellStyles count="1">
    <cellStyle name="Normal" xfId="0" builtinId="0"/>
  </cellStyles>
  <dxfs count="2">
    <dxf>
      <fill>
        <patternFill>
          <bgColor rgb="FFF3D9C6"/>
        </patternFill>
      </fill>
    </dxf>
    <dxf>
      <fill>
        <patternFill>
          <bgColor rgb="FFF6EBC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Required vs permanent headcount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Required HC</c:v>
          </c:tx>
          <c:spPr>
            <a:ln w="31750">
              <a:solidFill>
                <a:srgbClr val="B8642B"/>
              </a:solidFill>
            </a:ln>
          </c:spPr>
          <c:marker>
            <c:symbol val="none"/>
          </c:marker>
          <c:cat>
            <c:numRef>
              <c:f>Plan!$A$5:$A$60</c:f>
              <c:numCache>
                <c:formatCode>General</c:formatCode>
                <c:ptCount val="56"/>
                <c:pt idx="0">
                  <c:v>46328</c:v>
                </c:pt>
                <c:pt idx="1">
                  <c:v>46329</c:v>
                </c:pt>
                <c:pt idx="2">
                  <c:v>46330</c:v>
                </c:pt>
                <c:pt idx="3">
                  <c:v>46331</c:v>
                </c:pt>
                <c:pt idx="4">
                  <c:v>46332</c:v>
                </c:pt>
                <c:pt idx="5">
                  <c:v>46333</c:v>
                </c:pt>
                <c:pt idx="6">
                  <c:v>46334</c:v>
                </c:pt>
                <c:pt idx="7">
                  <c:v>46335</c:v>
                </c:pt>
                <c:pt idx="8">
                  <c:v>46336</c:v>
                </c:pt>
                <c:pt idx="9">
                  <c:v>46337</c:v>
                </c:pt>
                <c:pt idx="10">
                  <c:v>46338</c:v>
                </c:pt>
                <c:pt idx="11">
                  <c:v>46339</c:v>
                </c:pt>
                <c:pt idx="12">
                  <c:v>46340</c:v>
                </c:pt>
                <c:pt idx="13">
                  <c:v>46341</c:v>
                </c:pt>
                <c:pt idx="14">
                  <c:v>46342</c:v>
                </c:pt>
                <c:pt idx="15">
                  <c:v>46343</c:v>
                </c:pt>
                <c:pt idx="16">
                  <c:v>46344</c:v>
                </c:pt>
                <c:pt idx="17">
                  <c:v>46345</c:v>
                </c:pt>
                <c:pt idx="18">
                  <c:v>46346</c:v>
                </c:pt>
                <c:pt idx="19">
                  <c:v>46347</c:v>
                </c:pt>
                <c:pt idx="20">
                  <c:v>46348</c:v>
                </c:pt>
                <c:pt idx="21">
                  <c:v>46349</c:v>
                </c:pt>
                <c:pt idx="22">
                  <c:v>46350</c:v>
                </c:pt>
                <c:pt idx="23">
                  <c:v>46351</c:v>
                </c:pt>
                <c:pt idx="24">
                  <c:v>46352</c:v>
                </c:pt>
                <c:pt idx="25">
                  <c:v>46353</c:v>
                </c:pt>
                <c:pt idx="26">
                  <c:v>46354</c:v>
                </c:pt>
                <c:pt idx="27">
                  <c:v>46355</c:v>
                </c:pt>
                <c:pt idx="28">
                  <c:v>46356</c:v>
                </c:pt>
                <c:pt idx="29">
                  <c:v>46357</c:v>
                </c:pt>
                <c:pt idx="30">
                  <c:v>46358</c:v>
                </c:pt>
                <c:pt idx="31">
                  <c:v>46359</c:v>
                </c:pt>
                <c:pt idx="32">
                  <c:v>46360</c:v>
                </c:pt>
                <c:pt idx="33">
                  <c:v>46361</c:v>
                </c:pt>
                <c:pt idx="34">
                  <c:v>46362</c:v>
                </c:pt>
                <c:pt idx="35">
                  <c:v>46363</c:v>
                </c:pt>
                <c:pt idx="36">
                  <c:v>46364</c:v>
                </c:pt>
                <c:pt idx="37">
                  <c:v>46365</c:v>
                </c:pt>
                <c:pt idx="38">
                  <c:v>46366</c:v>
                </c:pt>
                <c:pt idx="39">
                  <c:v>46367</c:v>
                </c:pt>
                <c:pt idx="40">
                  <c:v>46368</c:v>
                </c:pt>
                <c:pt idx="41">
                  <c:v>46369</c:v>
                </c:pt>
                <c:pt idx="42">
                  <c:v>46370</c:v>
                </c:pt>
                <c:pt idx="43">
                  <c:v>46371</c:v>
                </c:pt>
                <c:pt idx="44">
                  <c:v>46372</c:v>
                </c:pt>
                <c:pt idx="45">
                  <c:v>46373</c:v>
                </c:pt>
                <c:pt idx="46">
                  <c:v>46374</c:v>
                </c:pt>
                <c:pt idx="47">
                  <c:v>46375</c:v>
                </c:pt>
                <c:pt idx="48">
                  <c:v>46376</c:v>
                </c:pt>
                <c:pt idx="49">
                  <c:v>46377</c:v>
                </c:pt>
                <c:pt idx="50">
                  <c:v>46378</c:v>
                </c:pt>
                <c:pt idx="51">
                  <c:v>46379</c:v>
                </c:pt>
                <c:pt idx="52">
                  <c:v>46380</c:v>
                </c:pt>
                <c:pt idx="53">
                  <c:v>46381</c:v>
                </c:pt>
                <c:pt idx="54">
                  <c:v>46382</c:v>
                </c:pt>
                <c:pt idx="55">
                  <c:v>46383</c:v>
                </c:pt>
              </c:numCache>
            </c:numRef>
          </c:cat>
          <c:val>
            <c:numRef>
              <c:f>Plan!$K$5:$K$60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</c:ser>
        <c:ser>
          <c:idx val="1"/>
          <c:order val="1"/>
          <c:tx>
            <c:v>Permanent HC on roster</c:v>
          </c:tx>
          <c:spPr>
            <a:ln w="28575">
              <a:solidFill>
                <a:srgbClr val="22303C"/>
              </a:solidFill>
              <a:prstDash val="dash"/>
            </a:ln>
          </c:spPr>
          <c:marker>
            <c:symbol val="none"/>
          </c:marker>
          <c:cat>
            <c:numRef>
              <c:f>Plan!$A$5:$A$60</c:f>
              <c:numCache>
                <c:formatCode>General</c:formatCode>
                <c:ptCount val="56"/>
                <c:pt idx="0">
                  <c:v>46328</c:v>
                </c:pt>
                <c:pt idx="1">
                  <c:v>46329</c:v>
                </c:pt>
                <c:pt idx="2">
                  <c:v>46330</c:v>
                </c:pt>
                <c:pt idx="3">
                  <c:v>46331</c:v>
                </c:pt>
                <c:pt idx="4">
                  <c:v>46332</c:v>
                </c:pt>
                <c:pt idx="5">
                  <c:v>46333</c:v>
                </c:pt>
                <c:pt idx="6">
                  <c:v>46334</c:v>
                </c:pt>
                <c:pt idx="7">
                  <c:v>46335</c:v>
                </c:pt>
                <c:pt idx="8">
                  <c:v>46336</c:v>
                </c:pt>
                <c:pt idx="9">
                  <c:v>46337</c:v>
                </c:pt>
                <c:pt idx="10">
                  <c:v>46338</c:v>
                </c:pt>
                <c:pt idx="11">
                  <c:v>46339</c:v>
                </c:pt>
                <c:pt idx="12">
                  <c:v>46340</c:v>
                </c:pt>
                <c:pt idx="13">
                  <c:v>46341</c:v>
                </c:pt>
                <c:pt idx="14">
                  <c:v>46342</c:v>
                </c:pt>
                <c:pt idx="15">
                  <c:v>46343</c:v>
                </c:pt>
                <c:pt idx="16">
                  <c:v>46344</c:v>
                </c:pt>
                <c:pt idx="17">
                  <c:v>46345</c:v>
                </c:pt>
                <c:pt idx="18">
                  <c:v>46346</c:v>
                </c:pt>
                <c:pt idx="19">
                  <c:v>46347</c:v>
                </c:pt>
                <c:pt idx="20">
                  <c:v>46348</c:v>
                </c:pt>
                <c:pt idx="21">
                  <c:v>46349</c:v>
                </c:pt>
                <c:pt idx="22">
                  <c:v>46350</c:v>
                </c:pt>
                <c:pt idx="23">
                  <c:v>46351</c:v>
                </c:pt>
                <c:pt idx="24">
                  <c:v>46352</c:v>
                </c:pt>
                <c:pt idx="25">
                  <c:v>46353</c:v>
                </c:pt>
                <c:pt idx="26">
                  <c:v>46354</c:v>
                </c:pt>
                <c:pt idx="27">
                  <c:v>46355</c:v>
                </c:pt>
                <c:pt idx="28">
                  <c:v>46356</c:v>
                </c:pt>
                <c:pt idx="29">
                  <c:v>46357</c:v>
                </c:pt>
                <c:pt idx="30">
                  <c:v>46358</c:v>
                </c:pt>
                <c:pt idx="31">
                  <c:v>46359</c:v>
                </c:pt>
                <c:pt idx="32">
                  <c:v>46360</c:v>
                </c:pt>
                <c:pt idx="33">
                  <c:v>46361</c:v>
                </c:pt>
                <c:pt idx="34">
                  <c:v>46362</c:v>
                </c:pt>
                <c:pt idx="35">
                  <c:v>46363</c:v>
                </c:pt>
                <c:pt idx="36">
                  <c:v>46364</c:v>
                </c:pt>
                <c:pt idx="37">
                  <c:v>46365</c:v>
                </c:pt>
                <c:pt idx="38">
                  <c:v>46366</c:v>
                </c:pt>
                <c:pt idx="39">
                  <c:v>46367</c:v>
                </c:pt>
                <c:pt idx="40">
                  <c:v>46368</c:v>
                </c:pt>
                <c:pt idx="41">
                  <c:v>46369</c:v>
                </c:pt>
                <c:pt idx="42">
                  <c:v>46370</c:v>
                </c:pt>
                <c:pt idx="43">
                  <c:v>46371</c:v>
                </c:pt>
                <c:pt idx="44">
                  <c:v>46372</c:v>
                </c:pt>
                <c:pt idx="45">
                  <c:v>46373</c:v>
                </c:pt>
                <c:pt idx="46">
                  <c:v>46374</c:v>
                </c:pt>
                <c:pt idx="47">
                  <c:v>46375</c:v>
                </c:pt>
                <c:pt idx="48">
                  <c:v>46376</c:v>
                </c:pt>
                <c:pt idx="49">
                  <c:v>46377</c:v>
                </c:pt>
                <c:pt idx="50">
                  <c:v>46378</c:v>
                </c:pt>
                <c:pt idx="51">
                  <c:v>46379</c:v>
                </c:pt>
                <c:pt idx="52">
                  <c:v>46380</c:v>
                </c:pt>
                <c:pt idx="53">
                  <c:v>46381</c:v>
                </c:pt>
                <c:pt idx="54">
                  <c:v>46382</c:v>
                </c:pt>
                <c:pt idx="55">
                  <c:v>46383</c:v>
                </c:pt>
              </c:numCache>
            </c:numRef>
          </c:cat>
          <c:val>
            <c:numRef>
              <c:f>Plan!$L$5:$L$60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dd-m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3DDD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layout/>
        </c:title>
        <c:numFmt formatCode="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Flex hires needed per day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Flex HC</c:v>
          </c:tx>
          <c:spPr>
            <a:solidFill>
              <a:srgbClr val="B8642B"/>
            </a:solidFill>
          </c:spPr>
          <c:cat>
            <c:numRef>
              <c:f>Plan!$A$5:$A$60</c:f>
              <c:numCache>
                <c:formatCode>General</c:formatCode>
                <c:ptCount val="56"/>
                <c:pt idx="0">
                  <c:v>46328</c:v>
                </c:pt>
                <c:pt idx="1">
                  <c:v>46329</c:v>
                </c:pt>
                <c:pt idx="2">
                  <c:v>46330</c:v>
                </c:pt>
                <c:pt idx="3">
                  <c:v>46331</c:v>
                </c:pt>
                <c:pt idx="4">
                  <c:v>46332</c:v>
                </c:pt>
                <c:pt idx="5">
                  <c:v>46333</c:v>
                </c:pt>
                <c:pt idx="6">
                  <c:v>46334</c:v>
                </c:pt>
                <c:pt idx="7">
                  <c:v>46335</c:v>
                </c:pt>
                <c:pt idx="8">
                  <c:v>46336</c:v>
                </c:pt>
                <c:pt idx="9">
                  <c:v>46337</c:v>
                </c:pt>
                <c:pt idx="10">
                  <c:v>46338</c:v>
                </c:pt>
                <c:pt idx="11">
                  <c:v>46339</c:v>
                </c:pt>
                <c:pt idx="12">
                  <c:v>46340</c:v>
                </c:pt>
                <c:pt idx="13">
                  <c:v>46341</c:v>
                </c:pt>
                <c:pt idx="14">
                  <c:v>46342</c:v>
                </c:pt>
                <c:pt idx="15">
                  <c:v>46343</c:v>
                </c:pt>
                <c:pt idx="16">
                  <c:v>46344</c:v>
                </c:pt>
                <c:pt idx="17">
                  <c:v>46345</c:v>
                </c:pt>
                <c:pt idx="18">
                  <c:v>46346</c:v>
                </c:pt>
                <c:pt idx="19">
                  <c:v>46347</c:v>
                </c:pt>
                <c:pt idx="20">
                  <c:v>46348</c:v>
                </c:pt>
                <c:pt idx="21">
                  <c:v>46349</c:v>
                </c:pt>
                <c:pt idx="22">
                  <c:v>46350</c:v>
                </c:pt>
                <c:pt idx="23">
                  <c:v>46351</c:v>
                </c:pt>
                <c:pt idx="24">
                  <c:v>46352</c:v>
                </c:pt>
                <c:pt idx="25">
                  <c:v>46353</c:v>
                </c:pt>
                <c:pt idx="26">
                  <c:v>46354</c:v>
                </c:pt>
                <c:pt idx="27">
                  <c:v>46355</c:v>
                </c:pt>
                <c:pt idx="28">
                  <c:v>46356</c:v>
                </c:pt>
                <c:pt idx="29">
                  <c:v>46357</c:v>
                </c:pt>
                <c:pt idx="30">
                  <c:v>46358</c:v>
                </c:pt>
                <c:pt idx="31">
                  <c:v>46359</c:v>
                </c:pt>
                <c:pt idx="32">
                  <c:v>46360</c:v>
                </c:pt>
                <c:pt idx="33">
                  <c:v>46361</c:v>
                </c:pt>
                <c:pt idx="34">
                  <c:v>46362</c:v>
                </c:pt>
                <c:pt idx="35">
                  <c:v>46363</c:v>
                </c:pt>
                <c:pt idx="36">
                  <c:v>46364</c:v>
                </c:pt>
                <c:pt idx="37">
                  <c:v>46365</c:v>
                </c:pt>
                <c:pt idx="38">
                  <c:v>46366</c:v>
                </c:pt>
                <c:pt idx="39">
                  <c:v>46367</c:v>
                </c:pt>
                <c:pt idx="40">
                  <c:v>46368</c:v>
                </c:pt>
                <c:pt idx="41">
                  <c:v>46369</c:v>
                </c:pt>
                <c:pt idx="42">
                  <c:v>46370</c:v>
                </c:pt>
                <c:pt idx="43">
                  <c:v>46371</c:v>
                </c:pt>
                <c:pt idx="44">
                  <c:v>46372</c:v>
                </c:pt>
                <c:pt idx="45">
                  <c:v>46373</c:v>
                </c:pt>
                <c:pt idx="46">
                  <c:v>46374</c:v>
                </c:pt>
                <c:pt idx="47">
                  <c:v>46375</c:v>
                </c:pt>
                <c:pt idx="48">
                  <c:v>46376</c:v>
                </c:pt>
                <c:pt idx="49">
                  <c:v>46377</c:v>
                </c:pt>
                <c:pt idx="50">
                  <c:v>46378</c:v>
                </c:pt>
                <c:pt idx="51">
                  <c:v>46379</c:v>
                </c:pt>
                <c:pt idx="52">
                  <c:v>46380</c:v>
                </c:pt>
                <c:pt idx="53">
                  <c:v>46381</c:v>
                </c:pt>
                <c:pt idx="54">
                  <c:v>46382</c:v>
                </c:pt>
                <c:pt idx="55">
                  <c:v>46383</c:v>
                </c:pt>
              </c:numCache>
            </c:numRef>
          </c:cat>
          <c:val>
            <c:numRef>
              <c:f>Plan!$R$5:$R$60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</c:ser>
        <c:gapWidth val="40"/>
        <c:axId val="50020001"/>
        <c:axId val="50020002"/>
      </c:barChart>
      <c:dateAx>
        <c:axId val="50020001"/>
        <c:scaling>
          <c:orientation val="minMax"/>
        </c:scaling>
        <c:axPos val="b"/>
        <c:numFmt formatCode="dd-mmm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3DDD0"/>
              </a:solidFill>
            </a:ln>
          </c:spPr>
        </c:majorGridlines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5</xdr:col>
      <xdr:colOff>1000125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5</xdr:col>
      <xdr:colOff>1000125</xdr:colOff>
      <xdr:row>47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642B"/>
    <pageSetUpPr fitToPage="1"/>
  </sheetPr>
  <dimension ref="A1:H17"/>
  <sheetViews>
    <sheetView showGridLines="0" tabSelected="1" workbookViewId="0"/>
  </sheetViews>
  <sheetFormatPr defaultRowHeight="15"/>
  <cols>
    <col min="1" max="1" width="30.7109375" customWidth="1"/>
    <col min="2" max="8" width="15.7109375" customWidth="1"/>
  </cols>
  <sheetData>
    <row r="1" spans="1:8">
      <c r="A1" s="1" t="s">
        <v>109</v>
      </c>
    </row>
    <row r="2" spans="1:8">
      <c r="A2" s="2">
        <f>"Scenario: "&amp;Scenario&amp;"  |  demand x"&amp;TEXT(DemandMult,"0.00")&amp;"  |  roster "&amp;Roster&amp;" permanent associates"</f>
        <v>0</v>
      </c>
    </row>
    <row r="3" spans="1:8">
      <c r="D3" s="2" t="s">
        <v>119</v>
      </c>
    </row>
    <row r="4" spans="1:8">
      <c r="A4" s="3" t="s">
        <v>110</v>
      </c>
      <c r="B4" s="4">
        <f>SUM(Plan!$E$5:$E$60)</f>
        <v>0</v>
      </c>
    </row>
    <row r="5" spans="1:8">
      <c r="A5" s="3" t="s">
        <v>111</v>
      </c>
      <c r="B5" s="5">
        <f>SUM(Plan!$W$5:$W$60)</f>
        <v>0</v>
      </c>
    </row>
    <row r="6" spans="1:8">
      <c r="A6" s="3" t="s">
        <v>93</v>
      </c>
      <c r="B6" s="6">
        <f>KPI_Cost/KPI_Units</f>
        <v>0</v>
      </c>
    </row>
    <row r="7" spans="1:8">
      <c r="A7" s="3" t="s">
        <v>112</v>
      </c>
      <c r="B7" s="4">
        <f>SUM(Plan!$O$5:$O$60)</f>
        <v>0</v>
      </c>
    </row>
    <row r="8" spans="1:8">
      <c r="A8" s="3" t="s">
        <v>113</v>
      </c>
      <c r="B8" s="4">
        <f>MAX(Plan!$R$5:$R$60)</f>
        <v>0</v>
      </c>
    </row>
    <row r="9" spans="1:8">
      <c r="A9" s="3" t="s">
        <v>114</v>
      </c>
      <c r="B9" s="4">
        <f>COUNTIF(Plan!$R$5:$R$60,"&gt;0")</f>
        <v>0</v>
      </c>
    </row>
    <row r="10" spans="1:8">
      <c r="A10" s="3" t="s">
        <v>115</v>
      </c>
      <c r="B10" s="7">
        <f>AVERAGE(Plan!$Y$5:$Y$60)</f>
        <v>0</v>
      </c>
    </row>
    <row r="12" spans="1:8">
      <c r="A12" s="8" t="s">
        <v>116</v>
      </c>
    </row>
    <row r="13" spans="1:8">
      <c r="A13" s="2" t="s">
        <v>117</v>
      </c>
    </row>
    <row r="14" spans="1:8" ht="30" customHeight="1">
      <c r="A14" s="9" t="s">
        <v>2</v>
      </c>
      <c r="B14" s="9" t="s">
        <v>105</v>
      </c>
      <c r="C14" s="9" t="s">
        <v>92</v>
      </c>
      <c r="D14" s="9" t="s">
        <v>93</v>
      </c>
      <c r="E14" s="9" t="s">
        <v>84</v>
      </c>
      <c r="F14" s="9" t="s">
        <v>108</v>
      </c>
      <c r="G14" s="9" t="s">
        <v>114</v>
      </c>
      <c r="H14" s="9" t="s">
        <v>118</v>
      </c>
    </row>
    <row r="15" spans="1:8">
      <c r="A15" s="10" t="s">
        <v>4</v>
      </c>
      <c r="B15" s="4">
        <v>3088100</v>
      </c>
      <c r="C15" s="5">
        <v>10238039.02645503</v>
      </c>
      <c r="D15" s="6">
        <v>3.315319784480757</v>
      </c>
      <c r="E15" s="4">
        <v>3583.795132275131</v>
      </c>
      <c r="F15" s="4">
        <v>50</v>
      </c>
      <c r="G15" s="4">
        <v>16</v>
      </c>
      <c r="H15" s="7">
        <v>0.92832988535853</v>
      </c>
    </row>
    <row r="16" spans="1:8">
      <c r="A16" s="10" t="s">
        <v>9</v>
      </c>
      <c r="B16" s="4">
        <v>4014530</v>
      </c>
      <c r="C16" s="5">
        <v>13631300.05079365</v>
      </c>
      <c r="D16" s="6">
        <v>3.395490892033102</v>
      </c>
      <c r="E16" s="4">
        <v>8934.700253968253</v>
      </c>
      <c r="F16" s="4">
        <v>137</v>
      </c>
      <c r="G16" s="4">
        <v>46</v>
      </c>
      <c r="H16" s="7">
        <v>0.987249195158971</v>
      </c>
    </row>
    <row r="17" spans="1:8">
      <c r="A17" s="10" t="s">
        <v>10</v>
      </c>
      <c r="B17" s="4">
        <v>2624885</v>
      </c>
      <c r="C17" s="5">
        <v>9346693.24021164</v>
      </c>
      <c r="D17" s="6">
        <v>3.56080104088813</v>
      </c>
      <c r="E17" s="4">
        <v>990.0662010582001</v>
      </c>
      <c r="F17" s="4">
        <v>7</v>
      </c>
      <c r="G17" s="4">
        <v>1</v>
      </c>
      <c r="H17" s="7">
        <v>0.8366252232904758</v>
      </c>
    </row>
  </sheetData>
  <pageMargins left="0.7" right="0.7" top="0.75" bottom="0.75" header="0.3" footer="0.3"/>
  <pageSetup paperSize="9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9A227"/>
    <pageSetUpPr fitToPage="1"/>
  </sheetPr>
  <dimension ref="A1:D47"/>
  <sheetViews>
    <sheetView showGridLines="0" workbookViewId="0"/>
  </sheetViews>
  <sheetFormatPr defaultRowHeight="15"/>
  <cols>
    <col min="1" max="1" width="34.7109375" customWidth="1"/>
    <col min="2" max="2" width="13.7109375" customWidth="1"/>
    <col min="3" max="3" width="12.7109375" customWidth="1"/>
    <col min="4" max="4" width="70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8" t="s">
        <v>2</v>
      </c>
    </row>
    <row r="5" spans="1:4">
      <c r="A5" s="11" t="s">
        <v>3</v>
      </c>
      <c r="B5" s="12" t="s">
        <v>4</v>
      </c>
      <c r="C5" s="11"/>
      <c r="D5" s="2" t="s">
        <v>5</v>
      </c>
    </row>
    <row r="6" spans="1:4">
      <c r="A6" s="11" t="s">
        <v>6</v>
      </c>
      <c r="B6" s="13">
        <f>INDEX(ScenMult,MATCH(Scenario,ScenName,0))</f>
        <v>0</v>
      </c>
    </row>
    <row r="8" spans="1:4">
      <c r="A8" s="8" t="s">
        <v>7</v>
      </c>
    </row>
    <row r="9" spans="1:4">
      <c r="A9" s="9" t="s">
        <v>2</v>
      </c>
      <c r="B9" s="9" t="s">
        <v>8</v>
      </c>
    </row>
    <row r="10" spans="1:4">
      <c r="A10" s="10" t="s">
        <v>4</v>
      </c>
      <c r="B10" s="14">
        <v>1</v>
      </c>
    </row>
    <row r="11" spans="1:4">
      <c r="A11" s="10" t="s">
        <v>9</v>
      </c>
      <c r="B11" s="14">
        <v>1.3</v>
      </c>
    </row>
    <row r="12" spans="1:4">
      <c r="A12" s="10" t="s">
        <v>10</v>
      </c>
      <c r="B12" s="14">
        <v>0.85</v>
      </c>
    </row>
    <row r="14" spans="1:4">
      <c r="A14" s="8" t="s">
        <v>11</v>
      </c>
    </row>
    <row r="15" spans="1:4">
      <c r="A15" s="9" t="s">
        <v>12</v>
      </c>
      <c r="B15" s="9" t="s">
        <v>13</v>
      </c>
      <c r="C15" s="9" t="s">
        <v>14</v>
      </c>
      <c r="D15" s="2" t="s">
        <v>15</v>
      </c>
    </row>
    <row r="16" spans="1:4">
      <c r="A16" s="10" t="s">
        <v>16</v>
      </c>
      <c r="B16" s="14">
        <v>0.9</v>
      </c>
      <c r="C16" s="12">
        <v>250</v>
      </c>
    </row>
    <row r="17" spans="1:4">
      <c r="A17" s="10" t="s">
        <v>17</v>
      </c>
      <c r="B17" s="14">
        <v>1</v>
      </c>
      <c r="C17" s="12">
        <v>100</v>
      </c>
    </row>
    <row r="18" spans="1:4">
      <c r="A18" s="10" t="s">
        <v>18</v>
      </c>
      <c r="B18" s="14">
        <v>1</v>
      </c>
      <c r="C18" s="12">
        <v>120</v>
      </c>
    </row>
    <row r="19" spans="1:4">
      <c r="A19" s="10" t="s">
        <v>19</v>
      </c>
      <c r="B19" s="14">
        <v>1</v>
      </c>
      <c r="C19" s="12">
        <v>300</v>
      </c>
    </row>
    <row r="20" spans="1:4">
      <c r="D20" s="2" t="s">
        <v>20</v>
      </c>
    </row>
    <row r="22" spans="1:4">
      <c r="A22" s="8" t="s">
        <v>21</v>
      </c>
    </row>
    <row r="23" spans="1:4">
      <c r="A23" s="11" t="s">
        <v>22</v>
      </c>
      <c r="B23" s="12">
        <v>9</v>
      </c>
      <c r="C23" s="11" t="s">
        <v>23</v>
      </c>
      <c r="D23" s="2" t="s">
        <v>24</v>
      </c>
    </row>
    <row r="24" spans="1:4">
      <c r="A24" s="11" t="s">
        <v>25</v>
      </c>
      <c r="B24" s="15">
        <v>0.1</v>
      </c>
      <c r="C24" s="11" t="s">
        <v>26</v>
      </c>
      <c r="D24" s="2" t="s">
        <v>27</v>
      </c>
    </row>
    <row r="25" spans="1:4">
      <c r="A25" s="11" t="s">
        <v>28</v>
      </c>
      <c r="B25" s="15">
        <v>0.05</v>
      </c>
      <c r="C25" s="11" t="s">
        <v>26</v>
      </c>
      <c r="D25" s="2" t="s">
        <v>29</v>
      </c>
    </row>
    <row r="26" spans="1:4">
      <c r="A26" s="11" t="s">
        <v>30</v>
      </c>
      <c r="B26" s="15">
        <v>0.08</v>
      </c>
      <c r="C26" s="11" t="s">
        <v>31</v>
      </c>
      <c r="D26" s="2" t="s">
        <v>32</v>
      </c>
    </row>
    <row r="27" spans="1:4">
      <c r="A27" s="11" t="s">
        <v>33</v>
      </c>
      <c r="B27" s="13">
        <f>(1-AllowancePct)*(1-IndirectPct)</f>
        <v>0</v>
      </c>
      <c r="D27" s="2" t="s">
        <v>34</v>
      </c>
    </row>
    <row r="29" spans="1:4">
      <c r="A29" s="8" t="s">
        <v>35</v>
      </c>
    </row>
    <row r="30" spans="1:4">
      <c r="A30" s="11" t="s">
        <v>36</v>
      </c>
      <c r="B30" s="12">
        <v>230</v>
      </c>
      <c r="C30" s="11" t="s">
        <v>37</v>
      </c>
      <c r="D30" s="2" t="s">
        <v>38</v>
      </c>
    </row>
    <row r="31" spans="1:4">
      <c r="A31" s="11" t="s">
        <v>39</v>
      </c>
      <c r="B31" s="12">
        <v>6</v>
      </c>
      <c r="C31" s="11" t="s">
        <v>40</v>
      </c>
      <c r="D31" s="2" t="s">
        <v>41</v>
      </c>
    </row>
    <row r="33" spans="1:4">
      <c r="A33" s="8" t="s">
        <v>42</v>
      </c>
    </row>
    <row r="34" spans="1:4">
      <c r="A34" s="11" t="s">
        <v>43</v>
      </c>
      <c r="B34" s="12">
        <v>2</v>
      </c>
      <c r="C34" s="11" t="s">
        <v>23</v>
      </c>
      <c r="D34" s="2" t="s">
        <v>44</v>
      </c>
    </row>
    <row r="35" spans="1:4">
      <c r="A35" s="11" t="s">
        <v>45</v>
      </c>
      <c r="B35" s="15">
        <v>0.5</v>
      </c>
      <c r="C35" s="11" t="s">
        <v>46</v>
      </c>
      <c r="D35" s="2" t="s">
        <v>47</v>
      </c>
    </row>
    <row r="36" spans="1:4">
      <c r="A36" s="11" t="s">
        <v>48</v>
      </c>
      <c r="B36" s="14">
        <v>0.9</v>
      </c>
      <c r="C36" s="11" t="s">
        <v>49</v>
      </c>
      <c r="D36" s="2" t="s">
        <v>50</v>
      </c>
    </row>
    <row r="37" spans="1:4">
      <c r="A37" s="11" t="s">
        <v>51</v>
      </c>
      <c r="B37" s="14">
        <v>0.85</v>
      </c>
      <c r="C37" s="11" t="s">
        <v>49</v>
      </c>
      <c r="D37" s="2" t="s">
        <v>52</v>
      </c>
    </row>
    <row r="39" spans="1:4">
      <c r="A39" s="8" t="s">
        <v>53</v>
      </c>
    </row>
    <row r="40" spans="1:4">
      <c r="A40" s="11" t="s">
        <v>54</v>
      </c>
      <c r="B40" s="12">
        <v>100</v>
      </c>
      <c r="C40" s="11" t="s">
        <v>55</v>
      </c>
      <c r="D40" s="2" t="s">
        <v>56</v>
      </c>
    </row>
    <row r="41" spans="1:4">
      <c r="A41" s="11" t="s">
        <v>57</v>
      </c>
      <c r="B41" s="14">
        <v>2</v>
      </c>
      <c r="C41" s="11" t="s">
        <v>58</v>
      </c>
      <c r="D41" s="2" t="s">
        <v>59</v>
      </c>
    </row>
    <row r="42" spans="1:4">
      <c r="A42" s="11" t="s">
        <v>60</v>
      </c>
      <c r="B42" s="12">
        <v>120</v>
      </c>
      <c r="C42" s="11" t="s">
        <v>55</v>
      </c>
      <c r="D42" s="2" t="s">
        <v>61</v>
      </c>
    </row>
    <row r="44" spans="1:4">
      <c r="A44" s="8" t="s">
        <v>62</v>
      </c>
    </row>
    <row r="45" spans="1:4">
      <c r="A45" s="11" t="s">
        <v>63</v>
      </c>
      <c r="B45" s="15">
        <v>0.45</v>
      </c>
      <c r="C45" s="11" t="s">
        <v>64</v>
      </c>
      <c r="D45" s="2" t="s">
        <v>65</v>
      </c>
    </row>
    <row r="46" spans="1:4">
      <c r="A46" s="11" t="s">
        <v>66</v>
      </c>
      <c r="B46" s="15">
        <v>0.4</v>
      </c>
      <c r="C46" s="11" t="s">
        <v>64</v>
      </c>
      <c r="D46" s="2"/>
    </row>
    <row r="47" spans="1:4">
      <c r="A47" s="11" t="s">
        <v>67</v>
      </c>
      <c r="B47" s="15">
        <v>0.15</v>
      </c>
      <c r="C47" s="11" t="s">
        <v>64</v>
      </c>
      <c r="D47" s="2"/>
    </row>
  </sheetData>
  <dataValidations count="1">
    <dataValidation type="list" allowBlank="1" showInputMessage="1" showErrorMessage="1" sqref="B5">
      <formula1>"Base,Peak,Low"</formula1>
    </dataValidation>
  </dataValidation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2303C"/>
    <pageSetUpPr fitToPage="1"/>
  </sheetPr>
  <dimension ref="A1:Z6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11.7109375" customWidth="1"/>
    <col min="2" max="26" width="12.7109375" customWidth="1"/>
  </cols>
  <sheetData>
    <row r="1" spans="1:26">
      <c r="A1" s="1" t="s">
        <v>68</v>
      </c>
    </row>
    <row r="2" spans="1:26">
      <c r="A2" s="2" t="s">
        <v>69</v>
      </c>
    </row>
    <row r="4" spans="1:26" ht="42" customHeight="1">
      <c r="A4" s="9" t="s">
        <v>70</v>
      </c>
      <c r="B4" s="9" t="s">
        <v>71</v>
      </c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77</v>
      </c>
      <c r="I4" s="9" t="s">
        <v>78</v>
      </c>
      <c r="J4" s="9" t="s">
        <v>79</v>
      </c>
      <c r="K4" s="9" t="s">
        <v>80</v>
      </c>
      <c r="L4" s="9" t="s">
        <v>81</v>
      </c>
      <c r="M4" s="9" t="s">
        <v>82</v>
      </c>
      <c r="N4" s="9" t="s">
        <v>83</v>
      </c>
      <c r="O4" s="9" t="s">
        <v>84</v>
      </c>
      <c r="P4" s="9" t="s">
        <v>85</v>
      </c>
      <c r="Q4" s="9" t="s">
        <v>86</v>
      </c>
      <c r="R4" s="9" t="s">
        <v>87</v>
      </c>
      <c r="S4" s="9" t="s">
        <v>88</v>
      </c>
      <c r="T4" s="9" t="s">
        <v>89</v>
      </c>
      <c r="U4" s="9" t="s">
        <v>90</v>
      </c>
      <c r="V4" s="9" t="s">
        <v>91</v>
      </c>
      <c r="W4" s="9" t="s">
        <v>92</v>
      </c>
      <c r="X4" s="9" t="s">
        <v>93</v>
      </c>
      <c r="Y4" s="9" t="s">
        <v>94</v>
      </c>
      <c r="Z4" s="9" t="s">
        <v>95</v>
      </c>
    </row>
    <row r="5" spans="1:26">
      <c r="A5" s="16">
        <v>46328</v>
      </c>
      <c r="B5" s="10">
        <f>TEXT(A5,"ddd")</f>
        <v>0</v>
      </c>
      <c r="C5" s="10">
        <f>INT((A5-$A$5)/7)+1</f>
        <v>0</v>
      </c>
      <c r="D5" s="17">
        <v>53320</v>
      </c>
      <c r="E5" s="4">
        <f>D5*DemandMult</f>
        <v>0</v>
      </c>
      <c r="F5" s="18">
        <f>E5*Share_Stow/UPH_Stow</f>
        <v>0</v>
      </c>
      <c r="G5" s="18">
        <f>E5*Share_Pick/UPH_Pick</f>
        <v>0</v>
      </c>
      <c r="H5" s="18">
        <f>E5*Share_Pack/UPH_Pack</f>
        <v>0</v>
      </c>
      <c r="I5" s="18">
        <f>E5*Share_Ship/UPH_Ship</f>
        <v>0</v>
      </c>
      <c r="J5" s="18">
        <f>SUM(F5:I5)</f>
        <v>0</v>
      </c>
      <c r="K5" s="18">
        <f>J5/(ShiftHrs*EffShare)/(1-AbsentPct)</f>
        <v>0</v>
      </c>
      <c r="L5" s="18">
        <f>Roster*WorkDays/7</f>
        <v>0</v>
      </c>
      <c r="M5" s="18">
        <f>L5*(1-AbsentPct)*ShiftHrs*EffShare</f>
        <v>0</v>
      </c>
      <c r="N5" s="18">
        <f>MAX(0,J5-M5)</f>
        <v>0</v>
      </c>
      <c r="O5" s="18">
        <f>MIN(N5/OTEff,L5*(1-AbsentPct)*OTCapHrs*OTTakeUp)</f>
        <v>0</v>
      </c>
      <c r="P5" s="18">
        <f>O5*OTEff</f>
        <v>0</v>
      </c>
      <c r="Q5" s="18">
        <f>MAX(0,N5-P5)</f>
        <v>0</v>
      </c>
      <c r="R5" s="4">
        <f>ROUNDUP(ROUND(Q5/(ShiftHrs*EffShare*FlexFactor),9),0)</f>
        <v>0</v>
      </c>
      <c r="S5" s="4">
        <f>R5*ShiftHrs</f>
        <v>0</v>
      </c>
      <c r="T5" s="5">
        <f>L5*(1-AbsentPct)*ShiftHrs*Wage</f>
        <v>0</v>
      </c>
      <c r="U5" s="5">
        <f>O5*Wage*OTMult</f>
        <v>0</v>
      </c>
      <c r="V5" s="5">
        <f>S5*FlexWage</f>
        <v>0</v>
      </c>
      <c r="W5" s="5">
        <f>SUM(T5:V5)</f>
        <v>0</v>
      </c>
      <c r="X5" s="6">
        <f>W5/E5</f>
        <v>0</v>
      </c>
      <c r="Y5" s="7">
        <f>MIN(J5,M5)/M5</f>
        <v>0</v>
      </c>
      <c r="Z5" s="10">
        <f>IF(R5&gt;0,"Flex hire",IF(O5&gt;0,"Overtime","Roster covers"))</f>
        <v>0</v>
      </c>
    </row>
    <row r="6" spans="1:26">
      <c r="A6" s="16">
        <v>46329</v>
      </c>
      <c r="B6" s="10">
        <f>TEXT(A6,"ddd")</f>
        <v>0</v>
      </c>
      <c r="C6" s="10">
        <f>INT((A6-$A$5)/7)+1</f>
        <v>0</v>
      </c>
      <c r="D6" s="17">
        <v>48910</v>
      </c>
      <c r="E6" s="4">
        <f>D6*DemandMult</f>
        <v>0</v>
      </c>
      <c r="F6" s="18">
        <f>E6*Share_Stow/UPH_Stow</f>
        <v>0</v>
      </c>
      <c r="G6" s="18">
        <f>E6*Share_Pick/UPH_Pick</f>
        <v>0</v>
      </c>
      <c r="H6" s="18">
        <f>E6*Share_Pack/UPH_Pack</f>
        <v>0</v>
      </c>
      <c r="I6" s="18">
        <f>E6*Share_Ship/UPH_Ship</f>
        <v>0</v>
      </c>
      <c r="J6" s="18">
        <f>SUM(F6:I6)</f>
        <v>0</v>
      </c>
      <c r="K6" s="18">
        <f>J6/(ShiftHrs*EffShare)/(1-AbsentPct)</f>
        <v>0</v>
      </c>
      <c r="L6" s="18">
        <f>Roster*WorkDays/7</f>
        <v>0</v>
      </c>
      <c r="M6" s="18">
        <f>L6*(1-AbsentPct)*ShiftHrs*EffShare</f>
        <v>0</v>
      </c>
      <c r="N6" s="18">
        <f>MAX(0,J6-M6)</f>
        <v>0</v>
      </c>
      <c r="O6" s="18">
        <f>MIN(N6/OTEff,L6*(1-AbsentPct)*OTCapHrs*OTTakeUp)</f>
        <v>0</v>
      </c>
      <c r="P6" s="18">
        <f>O6*OTEff</f>
        <v>0</v>
      </c>
      <c r="Q6" s="18">
        <f>MAX(0,N6-P6)</f>
        <v>0</v>
      </c>
      <c r="R6" s="4">
        <f>ROUNDUP(ROUND(Q6/(ShiftHrs*EffShare*FlexFactor),9),0)</f>
        <v>0</v>
      </c>
      <c r="S6" s="4">
        <f>R6*ShiftHrs</f>
        <v>0</v>
      </c>
      <c r="T6" s="5">
        <f>L6*(1-AbsentPct)*ShiftHrs*Wage</f>
        <v>0</v>
      </c>
      <c r="U6" s="5">
        <f>O6*Wage*OTMult</f>
        <v>0</v>
      </c>
      <c r="V6" s="5">
        <f>S6*FlexWage</f>
        <v>0</v>
      </c>
      <c r="W6" s="5">
        <f>SUM(T6:V6)</f>
        <v>0</v>
      </c>
      <c r="X6" s="6">
        <f>W6/E6</f>
        <v>0</v>
      </c>
      <c r="Y6" s="7">
        <f>MIN(J6,M6)/M6</f>
        <v>0</v>
      </c>
      <c r="Z6" s="10">
        <f>IF(R6&gt;0,"Flex hire",IF(O6&gt;0,"Overtime","Roster covers"))</f>
        <v>0</v>
      </c>
    </row>
    <row r="7" spans="1:26">
      <c r="A7" s="16">
        <v>46330</v>
      </c>
      <c r="B7" s="10">
        <f>TEXT(A7,"ddd")</f>
        <v>0</v>
      </c>
      <c r="C7" s="10">
        <f>INT((A7-$A$5)/7)+1</f>
        <v>0</v>
      </c>
      <c r="D7" s="17">
        <v>50100</v>
      </c>
      <c r="E7" s="4">
        <f>D7*DemandMult</f>
        <v>0</v>
      </c>
      <c r="F7" s="18">
        <f>E7*Share_Stow/UPH_Stow</f>
        <v>0</v>
      </c>
      <c r="G7" s="18">
        <f>E7*Share_Pick/UPH_Pick</f>
        <v>0</v>
      </c>
      <c r="H7" s="18">
        <f>E7*Share_Pack/UPH_Pack</f>
        <v>0</v>
      </c>
      <c r="I7" s="18">
        <f>E7*Share_Ship/UPH_Ship</f>
        <v>0</v>
      </c>
      <c r="J7" s="18">
        <f>SUM(F7:I7)</f>
        <v>0</v>
      </c>
      <c r="K7" s="18">
        <f>J7/(ShiftHrs*EffShare)/(1-AbsentPct)</f>
        <v>0</v>
      </c>
      <c r="L7" s="18">
        <f>Roster*WorkDays/7</f>
        <v>0</v>
      </c>
      <c r="M7" s="18">
        <f>L7*(1-AbsentPct)*ShiftHrs*EffShare</f>
        <v>0</v>
      </c>
      <c r="N7" s="18">
        <f>MAX(0,J7-M7)</f>
        <v>0</v>
      </c>
      <c r="O7" s="18">
        <f>MIN(N7/OTEff,L7*(1-AbsentPct)*OTCapHrs*OTTakeUp)</f>
        <v>0</v>
      </c>
      <c r="P7" s="18">
        <f>O7*OTEff</f>
        <v>0</v>
      </c>
      <c r="Q7" s="18">
        <f>MAX(0,N7-P7)</f>
        <v>0</v>
      </c>
      <c r="R7" s="4">
        <f>ROUNDUP(ROUND(Q7/(ShiftHrs*EffShare*FlexFactor),9),0)</f>
        <v>0</v>
      </c>
      <c r="S7" s="4">
        <f>R7*ShiftHrs</f>
        <v>0</v>
      </c>
      <c r="T7" s="5">
        <f>L7*(1-AbsentPct)*ShiftHrs*Wage</f>
        <v>0</v>
      </c>
      <c r="U7" s="5">
        <f>O7*Wage*OTMult</f>
        <v>0</v>
      </c>
      <c r="V7" s="5">
        <f>S7*FlexWage</f>
        <v>0</v>
      </c>
      <c r="W7" s="5">
        <f>SUM(T7:V7)</f>
        <v>0</v>
      </c>
      <c r="X7" s="6">
        <f>W7/E7</f>
        <v>0</v>
      </c>
      <c r="Y7" s="7">
        <f>MIN(J7,M7)/M7</f>
        <v>0</v>
      </c>
      <c r="Z7" s="10">
        <f>IF(R7&gt;0,"Flex hire",IF(O7&gt;0,"Overtime","Roster covers"))</f>
        <v>0</v>
      </c>
    </row>
    <row r="8" spans="1:26">
      <c r="A8" s="16">
        <v>46331</v>
      </c>
      <c r="B8" s="10">
        <f>TEXT(A8,"ddd")</f>
        <v>0</v>
      </c>
      <c r="C8" s="10">
        <f>INT((A8-$A$5)/7)+1</f>
        <v>0</v>
      </c>
      <c r="D8" s="17">
        <v>48390</v>
      </c>
      <c r="E8" s="4">
        <f>D8*DemandMult</f>
        <v>0</v>
      </c>
      <c r="F8" s="18">
        <f>E8*Share_Stow/UPH_Stow</f>
        <v>0</v>
      </c>
      <c r="G8" s="18">
        <f>E8*Share_Pick/UPH_Pick</f>
        <v>0</v>
      </c>
      <c r="H8" s="18">
        <f>E8*Share_Pack/UPH_Pack</f>
        <v>0</v>
      </c>
      <c r="I8" s="18">
        <f>E8*Share_Ship/UPH_Ship</f>
        <v>0</v>
      </c>
      <c r="J8" s="18">
        <f>SUM(F8:I8)</f>
        <v>0</v>
      </c>
      <c r="K8" s="18">
        <f>J8/(ShiftHrs*EffShare)/(1-AbsentPct)</f>
        <v>0</v>
      </c>
      <c r="L8" s="18">
        <f>Roster*WorkDays/7</f>
        <v>0</v>
      </c>
      <c r="M8" s="18">
        <f>L8*(1-AbsentPct)*ShiftHrs*EffShare</f>
        <v>0</v>
      </c>
      <c r="N8" s="18">
        <f>MAX(0,J8-M8)</f>
        <v>0</v>
      </c>
      <c r="O8" s="18">
        <f>MIN(N8/OTEff,L8*(1-AbsentPct)*OTCapHrs*OTTakeUp)</f>
        <v>0</v>
      </c>
      <c r="P8" s="18">
        <f>O8*OTEff</f>
        <v>0</v>
      </c>
      <c r="Q8" s="18">
        <f>MAX(0,N8-P8)</f>
        <v>0</v>
      </c>
      <c r="R8" s="4">
        <f>ROUNDUP(ROUND(Q8/(ShiftHrs*EffShare*FlexFactor),9),0)</f>
        <v>0</v>
      </c>
      <c r="S8" s="4">
        <f>R8*ShiftHrs</f>
        <v>0</v>
      </c>
      <c r="T8" s="5">
        <f>L8*(1-AbsentPct)*ShiftHrs*Wage</f>
        <v>0</v>
      </c>
      <c r="U8" s="5">
        <f>O8*Wage*OTMult</f>
        <v>0</v>
      </c>
      <c r="V8" s="5">
        <f>S8*FlexWage</f>
        <v>0</v>
      </c>
      <c r="W8" s="5">
        <f>SUM(T8:V8)</f>
        <v>0</v>
      </c>
      <c r="X8" s="6">
        <f>W8/E8</f>
        <v>0</v>
      </c>
      <c r="Y8" s="7">
        <f>MIN(J8,M8)/M8</f>
        <v>0</v>
      </c>
      <c r="Z8" s="10">
        <f>IF(R8&gt;0,"Flex hire",IF(O8&gt;0,"Overtime","Roster covers"))</f>
        <v>0</v>
      </c>
    </row>
    <row r="9" spans="1:26">
      <c r="A9" s="16">
        <v>46332</v>
      </c>
      <c r="B9" s="10">
        <f>TEXT(A9,"ddd")</f>
        <v>0</v>
      </c>
      <c r="C9" s="10">
        <f>INT((A9-$A$5)/7)+1</f>
        <v>0</v>
      </c>
      <c r="D9" s="17">
        <v>54910</v>
      </c>
      <c r="E9" s="4">
        <f>D9*DemandMult</f>
        <v>0</v>
      </c>
      <c r="F9" s="18">
        <f>E9*Share_Stow/UPH_Stow</f>
        <v>0</v>
      </c>
      <c r="G9" s="18">
        <f>E9*Share_Pick/UPH_Pick</f>
        <v>0</v>
      </c>
      <c r="H9" s="18">
        <f>E9*Share_Pack/UPH_Pack</f>
        <v>0</v>
      </c>
      <c r="I9" s="18">
        <f>E9*Share_Ship/UPH_Ship</f>
        <v>0</v>
      </c>
      <c r="J9" s="18">
        <f>SUM(F9:I9)</f>
        <v>0</v>
      </c>
      <c r="K9" s="18">
        <f>J9/(ShiftHrs*EffShare)/(1-AbsentPct)</f>
        <v>0</v>
      </c>
      <c r="L9" s="18">
        <f>Roster*WorkDays/7</f>
        <v>0</v>
      </c>
      <c r="M9" s="18">
        <f>L9*(1-AbsentPct)*ShiftHrs*EffShare</f>
        <v>0</v>
      </c>
      <c r="N9" s="18">
        <f>MAX(0,J9-M9)</f>
        <v>0</v>
      </c>
      <c r="O9" s="18">
        <f>MIN(N9/OTEff,L9*(1-AbsentPct)*OTCapHrs*OTTakeUp)</f>
        <v>0</v>
      </c>
      <c r="P9" s="18">
        <f>O9*OTEff</f>
        <v>0</v>
      </c>
      <c r="Q9" s="18">
        <f>MAX(0,N9-P9)</f>
        <v>0</v>
      </c>
      <c r="R9" s="4">
        <f>ROUNDUP(ROUND(Q9/(ShiftHrs*EffShare*FlexFactor),9),0)</f>
        <v>0</v>
      </c>
      <c r="S9" s="4">
        <f>R9*ShiftHrs</f>
        <v>0</v>
      </c>
      <c r="T9" s="5">
        <f>L9*(1-AbsentPct)*ShiftHrs*Wage</f>
        <v>0</v>
      </c>
      <c r="U9" s="5">
        <f>O9*Wage*OTMult</f>
        <v>0</v>
      </c>
      <c r="V9" s="5">
        <f>S9*FlexWage</f>
        <v>0</v>
      </c>
      <c r="W9" s="5">
        <f>SUM(T9:V9)</f>
        <v>0</v>
      </c>
      <c r="X9" s="6">
        <f>W9/E9</f>
        <v>0</v>
      </c>
      <c r="Y9" s="7">
        <f>MIN(J9,M9)/M9</f>
        <v>0</v>
      </c>
      <c r="Z9" s="10">
        <f>IF(R9&gt;0,"Flex hire",IF(O9&gt;0,"Overtime","Roster covers"))</f>
        <v>0</v>
      </c>
    </row>
    <row r="10" spans="1:26">
      <c r="A10" s="16">
        <v>46333</v>
      </c>
      <c r="B10" s="10">
        <f>TEXT(A10,"ddd")</f>
        <v>0</v>
      </c>
      <c r="C10" s="10">
        <f>INT((A10-$A$5)/7)+1</f>
        <v>0</v>
      </c>
      <c r="D10" s="17">
        <v>45570</v>
      </c>
      <c r="E10" s="4">
        <f>D10*DemandMult</f>
        <v>0</v>
      </c>
      <c r="F10" s="18">
        <f>E10*Share_Stow/UPH_Stow</f>
        <v>0</v>
      </c>
      <c r="G10" s="18">
        <f>E10*Share_Pick/UPH_Pick</f>
        <v>0</v>
      </c>
      <c r="H10" s="18">
        <f>E10*Share_Pack/UPH_Pack</f>
        <v>0</v>
      </c>
      <c r="I10" s="18">
        <f>E10*Share_Ship/UPH_Ship</f>
        <v>0</v>
      </c>
      <c r="J10" s="18">
        <f>SUM(F10:I10)</f>
        <v>0</v>
      </c>
      <c r="K10" s="18">
        <f>J10/(ShiftHrs*EffShare)/(1-AbsentPct)</f>
        <v>0</v>
      </c>
      <c r="L10" s="18">
        <f>Roster*WorkDays/7</f>
        <v>0</v>
      </c>
      <c r="M10" s="18">
        <f>L10*(1-AbsentPct)*ShiftHrs*EffShare</f>
        <v>0</v>
      </c>
      <c r="N10" s="18">
        <f>MAX(0,J10-M10)</f>
        <v>0</v>
      </c>
      <c r="O10" s="18">
        <f>MIN(N10/OTEff,L10*(1-AbsentPct)*OTCapHrs*OTTakeUp)</f>
        <v>0</v>
      </c>
      <c r="P10" s="18">
        <f>O10*OTEff</f>
        <v>0</v>
      </c>
      <c r="Q10" s="18">
        <f>MAX(0,N10-P10)</f>
        <v>0</v>
      </c>
      <c r="R10" s="4">
        <f>ROUNDUP(ROUND(Q10/(ShiftHrs*EffShare*FlexFactor),9),0)</f>
        <v>0</v>
      </c>
      <c r="S10" s="4">
        <f>R10*ShiftHrs</f>
        <v>0</v>
      </c>
      <c r="T10" s="5">
        <f>L10*(1-AbsentPct)*ShiftHrs*Wage</f>
        <v>0</v>
      </c>
      <c r="U10" s="5">
        <f>O10*Wage*OTMult</f>
        <v>0</v>
      </c>
      <c r="V10" s="5">
        <f>S10*FlexWage</f>
        <v>0</v>
      </c>
      <c r="W10" s="5">
        <f>SUM(T10:V10)</f>
        <v>0</v>
      </c>
      <c r="X10" s="6">
        <f>W10/E10</f>
        <v>0</v>
      </c>
      <c r="Y10" s="7">
        <f>MIN(J10,M10)/M10</f>
        <v>0</v>
      </c>
      <c r="Z10" s="10">
        <f>IF(R10&gt;0,"Flex hire",IF(O10&gt;0,"Overtime","Roster covers"))</f>
        <v>0</v>
      </c>
    </row>
    <row r="11" spans="1:26">
      <c r="A11" s="16">
        <v>46334</v>
      </c>
      <c r="B11" s="10">
        <f>TEXT(A11,"ddd")</f>
        <v>0</v>
      </c>
      <c r="C11" s="10">
        <f>INT((A11-$A$5)/7)+1</f>
        <v>0</v>
      </c>
      <c r="D11" s="17">
        <v>35370</v>
      </c>
      <c r="E11" s="4">
        <f>D11*DemandMult</f>
        <v>0</v>
      </c>
      <c r="F11" s="18">
        <f>E11*Share_Stow/UPH_Stow</f>
        <v>0</v>
      </c>
      <c r="G11" s="18">
        <f>E11*Share_Pick/UPH_Pick</f>
        <v>0</v>
      </c>
      <c r="H11" s="18">
        <f>E11*Share_Pack/UPH_Pack</f>
        <v>0</v>
      </c>
      <c r="I11" s="18">
        <f>E11*Share_Ship/UPH_Ship</f>
        <v>0</v>
      </c>
      <c r="J11" s="18">
        <f>SUM(F11:I11)</f>
        <v>0</v>
      </c>
      <c r="K11" s="18">
        <f>J11/(ShiftHrs*EffShare)/(1-AbsentPct)</f>
        <v>0</v>
      </c>
      <c r="L11" s="18">
        <f>Roster*WorkDays/7</f>
        <v>0</v>
      </c>
      <c r="M11" s="18">
        <f>L11*(1-AbsentPct)*ShiftHrs*EffShare</f>
        <v>0</v>
      </c>
      <c r="N11" s="18">
        <f>MAX(0,J11-M11)</f>
        <v>0</v>
      </c>
      <c r="O11" s="18">
        <f>MIN(N11/OTEff,L11*(1-AbsentPct)*OTCapHrs*OTTakeUp)</f>
        <v>0</v>
      </c>
      <c r="P11" s="18">
        <f>O11*OTEff</f>
        <v>0</v>
      </c>
      <c r="Q11" s="18">
        <f>MAX(0,N11-P11)</f>
        <v>0</v>
      </c>
      <c r="R11" s="4">
        <f>ROUNDUP(ROUND(Q11/(ShiftHrs*EffShare*FlexFactor),9),0)</f>
        <v>0</v>
      </c>
      <c r="S11" s="4">
        <f>R11*ShiftHrs</f>
        <v>0</v>
      </c>
      <c r="T11" s="5">
        <f>L11*(1-AbsentPct)*ShiftHrs*Wage</f>
        <v>0</v>
      </c>
      <c r="U11" s="5">
        <f>O11*Wage*OTMult</f>
        <v>0</v>
      </c>
      <c r="V11" s="5">
        <f>S11*FlexWage</f>
        <v>0</v>
      </c>
      <c r="W11" s="5">
        <f>SUM(T11:V11)</f>
        <v>0</v>
      </c>
      <c r="X11" s="6">
        <f>W11/E11</f>
        <v>0</v>
      </c>
      <c r="Y11" s="7">
        <f>MIN(J11,M11)/M11</f>
        <v>0</v>
      </c>
      <c r="Z11" s="10">
        <f>IF(R11&gt;0,"Flex hire",IF(O11&gt;0,"Overtime","Roster covers"))</f>
        <v>0</v>
      </c>
    </row>
    <row r="12" spans="1:26">
      <c r="A12" s="16">
        <v>46335</v>
      </c>
      <c r="B12" s="10">
        <f>TEXT(A12,"ddd")</f>
        <v>0</v>
      </c>
      <c r="C12" s="10">
        <f>INT((A12-$A$5)/7)+1</f>
        <v>0</v>
      </c>
      <c r="D12" s="17">
        <v>55190</v>
      </c>
      <c r="E12" s="4">
        <f>D12*DemandMult</f>
        <v>0</v>
      </c>
      <c r="F12" s="18">
        <f>E12*Share_Stow/UPH_Stow</f>
        <v>0</v>
      </c>
      <c r="G12" s="18">
        <f>E12*Share_Pick/UPH_Pick</f>
        <v>0</v>
      </c>
      <c r="H12" s="18">
        <f>E12*Share_Pack/UPH_Pack</f>
        <v>0</v>
      </c>
      <c r="I12" s="18">
        <f>E12*Share_Ship/UPH_Ship</f>
        <v>0</v>
      </c>
      <c r="J12" s="18">
        <f>SUM(F12:I12)</f>
        <v>0</v>
      </c>
      <c r="K12" s="18">
        <f>J12/(ShiftHrs*EffShare)/(1-AbsentPct)</f>
        <v>0</v>
      </c>
      <c r="L12" s="18">
        <f>Roster*WorkDays/7</f>
        <v>0</v>
      </c>
      <c r="M12" s="18">
        <f>L12*(1-AbsentPct)*ShiftHrs*EffShare</f>
        <v>0</v>
      </c>
      <c r="N12" s="18">
        <f>MAX(0,J12-M12)</f>
        <v>0</v>
      </c>
      <c r="O12" s="18">
        <f>MIN(N12/OTEff,L12*(1-AbsentPct)*OTCapHrs*OTTakeUp)</f>
        <v>0</v>
      </c>
      <c r="P12" s="18">
        <f>O12*OTEff</f>
        <v>0</v>
      </c>
      <c r="Q12" s="18">
        <f>MAX(0,N12-P12)</f>
        <v>0</v>
      </c>
      <c r="R12" s="4">
        <f>ROUNDUP(ROUND(Q12/(ShiftHrs*EffShare*FlexFactor),9),0)</f>
        <v>0</v>
      </c>
      <c r="S12" s="4">
        <f>R12*ShiftHrs</f>
        <v>0</v>
      </c>
      <c r="T12" s="5">
        <f>L12*(1-AbsentPct)*ShiftHrs*Wage</f>
        <v>0</v>
      </c>
      <c r="U12" s="5">
        <f>O12*Wage*OTMult</f>
        <v>0</v>
      </c>
      <c r="V12" s="5">
        <f>S12*FlexWage</f>
        <v>0</v>
      </c>
      <c r="W12" s="5">
        <f>SUM(T12:V12)</f>
        <v>0</v>
      </c>
      <c r="X12" s="6">
        <f>W12/E12</f>
        <v>0</v>
      </c>
      <c r="Y12" s="7">
        <f>MIN(J12,M12)/M12</f>
        <v>0</v>
      </c>
      <c r="Z12" s="10">
        <f>IF(R12&gt;0,"Flex hire",IF(O12&gt;0,"Overtime","Roster covers"))</f>
        <v>0</v>
      </c>
    </row>
    <row r="13" spans="1:26">
      <c r="A13" s="16">
        <v>46336</v>
      </c>
      <c r="B13" s="10">
        <f>TEXT(A13,"ddd")</f>
        <v>0</v>
      </c>
      <c r="C13" s="10">
        <f>INT((A13-$A$5)/7)+1</f>
        <v>0</v>
      </c>
      <c r="D13" s="17">
        <v>54180</v>
      </c>
      <c r="E13" s="4">
        <f>D13*DemandMult</f>
        <v>0</v>
      </c>
      <c r="F13" s="18">
        <f>E13*Share_Stow/UPH_Stow</f>
        <v>0</v>
      </c>
      <c r="G13" s="18">
        <f>E13*Share_Pick/UPH_Pick</f>
        <v>0</v>
      </c>
      <c r="H13" s="18">
        <f>E13*Share_Pack/UPH_Pack</f>
        <v>0</v>
      </c>
      <c r="I13" s="18">
        <f>E13*Share_Ship/UPH_Ship</f>
        <v>0</v>
      </c>
      <c r="J13" s="18">
        <f>SUM(F13:I13)</f>
        <v>0</v>
      </c>
      <c r="K13" s="18">
        <f>J13/(ShiftHrs*EffShare)/(1-AbsentPct)</f>
        <v>0</v>
      </c>
      <c r="L13" s="18">
        <f>Roster*WorkDays/7</f>
        <v>0</v>
      </c>
      <c r="M13" s="18">
        <f>L13*(1-AbsentPct)*ShiftHrs*EffShare</f>
        <v>0</v>
      </c>
      <c r="N13" s="18">
        <f>MAX(0,J13-M13)</f>
        <v>0</v>
      </c>
      <c r="O13" s="18">
        <f>MIN(N13/OTEff,L13*(1-AbsentPct)*OTCapHrs*OTTakeUp)</f>
        <v>0</v>
      </c>
      <c r="P13" s="18">
        <f>O13*OTEff</f>
        <v>0</v>
      </c>
      <c r="Q13" s="18">
        <f>MAX(0,N13-P13)</f>
        <v>0</v>
      </c>
      <c r="R13" s="4">
        <f>ROUNDUP(ROUND(Q13/(ShiftHrs*EffShare*FlexFactor),9),0)</f>
        <v>0</v>
      </c>
      <c r="S13" s="4">
        <f>R13*ShiftHrs</f>
        <v>0</v>
      </c>
      <c r="T13" s="5">
        <f>L13*(1-AbsentPct)*ShiftHrs*Wage</f>
        <v>0</v>
      </c>
      <c r="U13" s="5">
        <f>O13*Wage*OTMult</f>
        <v>0</v>
      </c>
      <c r="V13" s="5">
        <f>S13*FlexWage</f>
        <v>0</v>
      </c>
      <c r="W13" s="5">
        <f>SUM(T13:V13)</f>
        <v>0</v>
      </c>
      <c r="X13" s="6">
        <f>W13/E13</f>
        <v>0</v>
      </c>
      <c r="Y13" s="7">
        <f>MIN(J13,M13)/M13</f>
        <v>0</v>
      </c>
      <c r="Z13" s="10">
        <f>IF(R13&gt;0,"Flex hire",IF(O13&gt;0,"Overtime","Roster covers"))</f>
        <v>0</v>
      </c>
    </row>
    <row r="14" spans="1:26">
      <c r="A14" s="16">
        <v>46337</v>
      </c>
      <c r="B14" s="10">
        <f>TEXT(A14,"ddd")</f>
        <v>0</v>
      </c>
      <c r="C14" s="10">
        <f>INT((A14-$A$5)/7)+1</f>
        <v>0</v>
      </c>
      <c r="D14" s="17">
        <v>53560</v>
      </c>
      <c r="E14" s="4">
        <f>D14*DemandMult</f>
        <v>0</v>
      </c>
      <c r="F14" s="18">
        <f>E14*Share_Stow/UPH_Stow</f>
        <v>0</v>
      </c>
      <c r="G14" s="18">
        <f>E14*Share_Pick/UPH_Pick</f>
        <v>0</v>
      </c>
      <c r="H14" s="18">
        <f>E14*Share_Pack/UPH_Pack</f>
        <v>0</v>
      </c>
      <c r="I14" s="18">
        <f>E14*Share_Ship/UPH_Ship</f>
        <v>0</v>
      </c>
      <c r="J14" s="18">
        <f>SUM(F14:I14)</f>
        <v>0</v>
      </c>
      <c r="K14" s="18">
        <f>J14/(ShiftHrs*EffShare)/(1-AbsentPct)</f>
        <v>0</v>
      </c>
      <c r="L14" s="18">
        <f>Roster*WorkDays/7</f>
        <v>0</v>
      </c>
      <c r="M14" s="18">
        <f>L14*(1-AbsentPct)*ShiftHrs*EffShare</f>
        <v>0</v>
      </c>
      <c r="N14" s="18">
        <f>MAX(0,J14-M14)</f>
        <v>0</v>
      </c>
      <c r="O14" s="18">
        <f>MIN(N14/OTEff,L14*(1-AbsentPct)*OTCapHrs*OTTakeUp)</f>
        <v>0</v>
      </c>
      <c r="P14" s="18">
        <f>O14*OTEff</f>
        <v>0</v>
      </c>
      <c r="Q14" s="18">
        <f>MAX(0,N14-P14)</f>
        <v>0</v>
      </c>
      <c r="R14" s="4">
        <f>ROUNDUP(ROUND(Q14/(ShiftHrs*EffShare*FlexFactor),9),0)</f>
        <v>0</v>
      </c>
      <c r="S14" s="4">
        <f>R14*ShiftHrs</f>
        <v>0</v>
      </c>
      <c r="T14" s="5">
        <f>L14*(1-AbsentPct)*ShiftHrs*Wage</f>
        <v>0</v>
      </c>
      <c r="U14" s="5">
        <f>O14*Wage*OTMult</f>
        <v>0</v>
      </c>
      <c r="V14" s="5">
        <f>S14*FlexWage</f>
        <v>0</v>
      </c>
      <c r="W14" s="5">
        <f>SUM(T14:V14)</f>
        <v>0</v>
      </c>
      <c r="X14" s="6">
        <f>W14/E14</f>
        <v>0</v>
      </c>
      <c r="Y14" s="7">
        <f>MIN(J14,M14)/M14</f>
        <v>0</v>
      </c>
      <c r="Z14" s="10">
        <f>IF(R14&gt;0,"Flex hire",IF(O14&gt;0,"Overtime","Roster covers"))</f>
        <v>0</v>
      </c>
    </row>
    <row r="15" spans="1:26">
      <c r="A15" s="16">
        <v>46338</v>
      </c>
      <c r="B15" s="10">
        <f>TEXT(A15,"ddd")</f>
        <v>0</v>
      </c>
      <c r="C15" s="10">
        <f>INT((A15-$A$5)/7)+1</f>
        <v>0</v>
      </c>
      <c r="D15" s="17">
        <v>51190</v>
      </c>
      <c r="E15" s="4">
        <f>D15*DemandMult</f>
        <v>0</v>
      </c>
      <c r="F15" s="18">
        <f>E15*Share_Stow/UPH_Stow</f>
        <v>0</v>
      </c>
      <c r="G15" s="18">
        <f>E15*Share_Pick/UPH_Pick</f>
        <v>0</v>
      </c>
      <c r="H15" s="18">
        <f>E15*Share_Pack/UPH_Pack</f>
        <v>0</v>
      </c>
      <c r="I15" s="18">
        <f>E15*Share_Ship/UPH_Ship</f>
        <v>0</v>
      </c>
      <c r="J15" s="18">
        <f>SUM(F15:I15)</f>
        <v>0</v>
      </c>
      <c r="K15" s="18">
        <f>J15/(ShiftHrs*EffShare)/(1-AbsentPct)</f>
        <v>0</v>
      </c>
      <c r="L15" s="18">
        <f>Roster*WorkDays/7</f>
        <v>0</v>
      </c>
      <c r="M15" s="18">
        <f>L15*(1-AbsentPct)*ShiftHrs*EffShare</f>
        <v>0</v>
      </c>
      <c r="N15" s="18">
        <f>MAX(0,J15-M15)</f>
        <v>0</v>
      </c>
      <c r="O15" s="18">
        <f>MIN(N15/OTEff,L15*(1-AbsentPct)*OTCapHrs*OTTakeUp)</f>
        <v>0</v>
      </c>
      <c r="P15" s="18">
        <f>O15*OTEff</f>
        <v>0</v>
      </c>
      <c r="Q15" s="18">
        <f>MAX(0,N15-P15)</f>
        <v>0</v>
      </c>
      <c r="R15" s="4">
        <f>ROUNDUP(ROUND(Q15/(ShiftHrs*EffShare*FlexFactor),9),0)</f>
        <v>0</v>
      </c>
      <c r="S15" s="4">
        <f>R15*ShiftHrs</f>
        <v>0</v>
      </c>
      <c r="T15" s="5">
        <f>L15*(1-AbsentPct)*ShiftHrs*Wage</f>
        <v>0</v>
      </c>
      <c r="U15" s="5">
        <f>O15*Wage*OTMult</f>
        <v>0</v>
      </c>
      <c r="V15" s="5">
        <f>S15*FlexWage</f>
        <v>0</v>
      </c>
      <c r="W15" s="5">
        <f>SUM(T15:V15)</f>
        <v>0</v>
      </c>
      <c r="X15" s="6">
        <f>W15/E15</f>
        <v>0</v>
      </c>
      <c r="Y15" s="7">
        <f>MIN(J15,M15)/M15</f>
        <v>0</v>
      </c>
      <c r="Z15" s="10">
        <f>IF(R15&gt;0,"Flex hire",IF(O15&gt;0,"Overtime","Roster covers"))</f>
        <v>0</v>
      </c>
    </row>
    <row r="16" spans="1:26">
      <c r="A16" s="16">
        <v>46339</v>
      </c>
      <c r="B16" s="10">
        <f>TEXT(A16,"ddd")</f>
        <v>0</v>
      </c>
      <c r="C16" s="10">
        <f>INT((A16-$A$5)/7)+1</f>
        <v>0</v>
      </c>
      <c r="D16" s="17">
        <v>55610</v>
      </c>
      <c r="E16" s="4">
        <f>D16*DemandMult</f>
        <v>0</v>
      </c>
      <c r="F16" s="18">
        <f>E16*Share_Stow/UPH_Stow</f>
        <v>0</v>
      </c>
      <c r="G16" s="18">
        <f>E16*Share_Pick/UPH_Pick</f>
        <v>0</v>
      </c>
      <c r="H16" s="18">
        <f>E16*Share_Pack/UPH_Pack</f>
        <v>0</v>
      </c>
      <c r="I16" s="18">
        <f>E16*Share_Ship/UPH_Ship</f>
        <v>0</v>
      </c>
      <c r="J16" s="18">
        <f>SUM(F16:I16)</f>
        <v>0</v>
      </c>
      <c r="K16" s="18">
        <f>J16/(ShiftHrs*EffShare)/(1-AbsentPct)</f>
        <v>0</v>
      </c>
      <c r="L16" s="18">
        <f>Roster*WorkDays/7</f>
        <v>0</v>
      </c>
      <c r="M16" s="18">
        <f>L16*(1-AbsentPct)*ShiftHrs*EffShare</f>
        <v>0</v>
      </c>
      <c r="N16" s="18">
        <f>MAX(0,J16-M16)</f>
        <v>0</v>
      </c>
      <c r="O16" s="18">
        <f>MIN(N16/OTEff,L16*(1-AbsentPct)*OTCapHrs*OTTakeUp)</f>
        <v>0</v>
      </c>
      <c r="P16" s="18">
        <f>O16*OTEff</f>
        <v>0</v>
      </c>
      <c r="Q16" s="18">
        <f>MAX(0,N16-P16)</f>
        <v>0</v>
      </c>
      <c r="R16" s="4">
        <f>ROUNDUP(ROUND(Q16/(ShiftHrs*EffShare*FlexFactor),9),0)</f>
        <v>0</v>
      </c>
      <c r="S16" s="4">
        <f>R16*ShiftHrs</f>
        <v>0</v>
      </c>
      <c r="T16" s="5">
        <f>L16*(1-AbsentPct)*ShiftHrs*Wage</f>
        <v>0</v>
      </c>
      <c r="U16" s="5">
        <f>O16*Wage*OTMult</f>
        <v>0</v>
      </c>
      <c r="V16" s="5">
        <f>S16*FlexWage</f>
        <v>0</v>
      </c>
      <c r="W16" s="5">
        <f>SUM(T16:V16)</f>
        <v>0</v>
      </c>
      <c r="X16" s="6">
        <f>W16/E16</f>
        <v>0</v>
      </c>
      <c r="Y16" s="7">
        <f>MIN(J16,M16)/M16</f>
        <v>0</v>
      </c>
      <c r="Z16" s="10">
        <f>IF(R16&gt;0,"Flex hire",IF(O16&gt;0,"Overtime","Roster covers"))</f>
        <v>0</v>
      </c>
    </row>
    <row r="17" spans="1:26">
      <c r="A17" s="16">
        <v>46340</v>
      </c>
      <c r="B17" s="10">
        <f>TEXT(A17,"ddd")</f>
        <v>0</v>
      </c>
      <c r="C17" s="10">
        <f>INT((A17-$A$5)/7)+1</f>
        <v>0</v>
      </c>
      <c r="D17" s="17">
        <v>50020</v>
      </c>
      <c r="E17" s="4">
        <f>D17*DemandMult</f>
        <v>0</v>
      </c>
      <c r="F17" s="18">
        <f>E17*Share_Stow/UPH_Stow</f>
        <v>0</v>
      </c>
      <c r="G17" s="18">
        <f>E17*Share_Pick/UPH_Pick</f>
        <v>0</v>
      </c>
      <c r="H17" s="18">
        <f>E17*Share_Pack/UPH_Pack</f>
        <v>0</v>
      </c>
      <c r="I17" s="18">
        <f>E17*Share_Ship/UPH_Ship</f>
        <v>0</v>
      </c>
      <c r="J17" s="18">
        <f>SUM(F17:I17)</f>
        <v>0</v>
      </c>
      <c r="K17" s="18">
        <f>J17/(ShiftHrs*EffShare)/(1-AbsentPct)</f>
        <v>0</v>
      </c>
      <c r="L17" s="18">
        <f>Roster*WorkDays/7</f>
        <v>0</v>
      </c>
      <c r="M17" s="18">
        <f>L17*(1-AbsentPct)*ShiftHrs*EffShare</f>
        <v>0</v>
      </c>
      <c r="N17" s="18">
        <f>MAX(0,J17-M17)</f>
        <v>0</v>
      </c>
      <c r="O17" s="18">
        <f>MIN(N17/OTEff,L17*(1-AbsentPct)*OTCapHrs*OTTakeUp)</f>
        <v>0</v>
      </c>
      <c r="P17" s="18">
        <f>O17*OTEff</f>
        <v>0</v>
      </c>
      <c r="Q17" s="18">
        <f>MAX(0,N17-P17)</f>
        <v>0</v>
      </c>
      <c r="R17" s="4">
        <f>ROUNDUP(ROUND(Q17/(ShiftHrs*EffShare*FlexFactor),9),0)</f>
        <v>0</v>
      </c>
      <c r="S17" s="4">
        <f>R17*ShiftHrs</f>
        <v>0</v>
      </c>
      <c r="T17" s="5">
        <f>L17*(1-AbsentPct)*ShiftHrs*Wage</f>
        <v>0</v>
      </c>
      <c r="U17" s="5">
        <f>O17*Wage*OTMult</f>
        <v>0</v>
      </c>
      <c r="V17" s="5">
        <f>S17*FlexWage</f>
        <v>0</v>
      </c>
      <c r="W17" s="5">
        <f>SUM(T17:V17)</f>
        <v>0</v>
      </c>
      <c r="X17" s="6">
        <f>W17/E17</f>
        <v>0</v>
      </c>
      <c r="Y17" s="7">
        <f>MIN(J17,M17)/M17</f>
        <v>0</v>
      </c>
      <c r="Z17" s="10">
        <f>IF(R17&gt;0,"Flex hire",IF(O17&gt;0,"Overtime","Roster covers"))</f>
        <v>0</v>
      </c>
    </row>
    <row r="18" spans="1:26">
      <c r="A18" s="16">
        <v>46341</v>
      </c>
      <c r="B18" s="10">
        <f>TEXT(A18,"ddd")</f>
        <v>0</v>
      </c>
      <c r="C18" s="10">
        <f>INT((A18-$A$5)/7)+1</f>
        <v>0</v>
      </c>
      <c r="D18" s="17">
        <v>35920</v>
      </c>
      <c r="E18" s="4">
        <f>D18*DemandMult</f>
        <v>0</v>
      </c>
      <c r="F18" s="18">
        <f>E18*Share_Stow/UPH_Stow</f>
        <v>0</v>
      </c>
      <c r="G18" s="18">
        <f>E18*Share_Pick/UPH_Pick</f>
        <v>0</v>
      </c>
      <c r="H18" s="18">
        <f>E18*Share_Pack/UPH_Pack</f>
        <v>0</v>
      </c>
      <c r="I18" s="18">
        <f>E18*Share_Ship/UPH_Ship</f>
        <v>0</v>
      </c>
      <c r="J18" s="18">
        <f>SUM(F18:I18)</f>
        <v>0</v>
      </c>
      <c r="K18" s="18">
        <f>J18/(ShiftHrs*EffShare)/(1-AbsentPct)</f>
        <v>0</v>
      </c>
      <c r="L18" s="18">
        <f>Roster*WorkDays/7</f>
        <v>0</v>
      </c>
      <c r="M18" s="18">
        <f>L18*(1-AbsentPct)*ShiftHrs*EffShare</f>
        <v>0</v>
      </c>
      <c r="N18" s="18">
        <f>MAX(0,J18-M18)</f>
        <v>0</v>
      </c>
      <c r="O18" s="18">
        <f>MIN(N18/OTEff,L18*(1-AbsentPct)*OTCapHrs*OTTakeUp)</f>
        <v>0</v>
      </c>
      <c r="P18" s="18">
        <f>O18*OTEff</f>
        <v>0</v>
      </c>
      <c r="Q18" s="18">
        <f>MAX(0,N18-P18)</f>
        <v>0</v>
      </c>
      <c r="R18" s="4">
        <f>ROUNDUP(ROUND(Q18/(ShiftHrs*EffShare*FlexFactor),9),0)</f>
        <v>0</v>
      </c>
      <c r="S18" s="4">
        <f>R18*ShiftHrs</f>
        <v>0</v>
      </c>
      <c r="T18" s="5">
        <f>L18*(1-AbsentPct)*ShiftHrs*Wage</f>
        <v>0</v>
      </c>
      <c r="U18" s="5">
        <f>O18*Wage*OTMult</f>
        <v>0</v>
      </c>
      <c r="V18" s="5">
        <f>S18*FlexWage</f>
        <v>0</v>
      </c>
      <c r="W18" s="5">
        <f>SUM(T18:V18)</f>
        <v>0</v>
      </c>
      <c r="X18" s="6">
        <f>W18/E18</f>
        <v>0</v>
      </c>
      <c r="Y18" s="7">
        <f>MIN(J18,M18)/M18</f>
        <v>0</v>
      </c>
      <c r="Z18" s="10">
        <f>IF(R18&gt;0,"Flex hire",IF(O18&gt;0,"Overtime","Roster covers"))</f>
        <v>0</v>
      </c>
    </row>
    <row r="19" spans="1:26">
      <c r="A19" s="16">
        <v>46342</v>
      </c>
      <c r="B19" s="10">
        <f>TEXT(A19,"ddd")</f>
        <v>0</v>
      </c>
      <c r="C19" s="10">
        <f>INT((A19-$A$5)/7)+1</f>
        <v>0</v>
      </c>
      <c r="D19" s="17">
        <v>61900</v>
      </c>
      <c r="E19" s="4">
        <f>D19*DemandMult</f>
        <v>0</v>
      </c>
      <c r="F19" s="18">
        <f>E19*Share_Stow/UPH_Stow</f>
        <v>0</v>
      </c>
      <c r="G19" s="18">
        <f>E19*Share_Pick/UPH_Pick</f>
        <v>0</v>
      </c>
      <c r="H19" s="18">
        <f>E19*Share_Pack/UPH_Pack</f>
        <v>0</v>
      </c>
      <c r="I19" s="18">
        <f>E19*Share_Ship/UPH_Ship</f>
        <v>0</v>
      </c>
      <c r="J19" s="18">
        <f>SUM(F19:I19)</f>
        <v>0</v>
      </c>
      <c r="K19" s="18">
        <f>J19/(ShiftHrs*EffShare)/(1-AbsentPct)</f>
        <v>0</v>
      </c>
      <c r="L19" s="18">
        <f>Roster*WorkDays/7</f>
        <v>0</v>
      </c>
      <c r="M19" s="18">
        <f>L19*(1-AbsentPct)*ShiftHrs*EffShare</f>
        <v>0</v>
      </c>
      <c r="N19" s="18">
        <f>MAX(0,J19-M19)</f>
        <v>0</v>
      </c>
      <c r="O19" s="18">
        <f>MIN(N19/OTEff,L19*(1-AbsentPct)*OTCapHrs*OTTakeUp)</f>
        <v>0</v>
      </c>
      <c r="P19" s="18">
        <f>O19*OTEff</f>
        <v>0</v>
      </c>
      <c r="Q19" s="18">
        <f>MAX(0,N19-P19)</f>
        <v>0</v>
      </c>
      <c r="R19" s="4">
        <f>ROUNDUP(ROUND(Q19/(ShiftHrs*EffShare*FlexFactor),9),0)</f>
        <v>0</v>
      </c>
      <c r="S19" s="4">
        <f>R19*ShiftHrs</f>
        <v>0</v>
      </c>
      <c r="T19" s="5">
        <f>L19*(1-AbsentPct)*ShiftHrs*Wage</f>
        <v>0</v>
      </c>
      <c r="U19" s="5">
        <f>O19*Wage*OTMult</f>
        <v>0</v>
      </c>
      <c r="V19" s="5">
        <f>S19*FlexWage</f>
        <v>0</v>
      </c>
      <c r="W19" s="5">
        <f>SUM(T19:V19)</f>
        <v>0</v>
      </c>
      <c r="X19" s="6">
        <f>W19/E19</f>
        <v>0</v>
      </c>
      <c r="Y19" s="7">
        <f>MIN(J19,M19)/M19</f>
        <v>0</v>
      </c>
      <c r="Z19" s="10">
        <f>IF(R19&gt;0,"Flex hire",IF(O19&gt;0,"Overtime","Roster covers"))</f>
        <v>0</v>
      </c>
    </row>
    <row r="20" spans="1:26">
      <c r="A20" s="16">
        <v>46343</v>
      </c>
      <c r="B20" s="10">
        <f>TEXT(A20,"ddd")</f>
        <v>0</v>
      </c>
      <c r="C20" s="10">
        <f>INT((A20-$A$5)/7)+1</f>
        <v>0</v>
      </c>
      <c r="D20" s="17">
        <v>60000</v>
      </c>
      <c r="E20" s="4">
        <f>D20*DemandMult</f>
        <v>0</v>
      </c>
      <c r="F20" s="18">
        <f>E20*Share_Stow/UPH_Stow</f>
        <v>0</v>
      </c>
      <c r="G20" s="18">
        <f>E20*Share_Pick/UPH_Pick</f>
        <v>0</v>
      </c>
      <c r="H20" s="18">
        <f>E20*Share_Pack/UPH_Pack</f>
        <v>0</v>
      </c>
      <c r="I20" s="18">
        <f>E20*Share_Ship/UPH_Ship</f>
        <v>0</v>
      </c>
      <c r="J20" s="18">
        <f>SUM(F20:I20)</f>
        <v>0</v>
      </c>
      <c r="K20" s="18">
        <f>J20/(ShiftHrs*EffShare)/(1-AbsentPct)</f>
        <v>0</v>
      </c>
      <c r="L20" s="18">
        <f>Roster*WorkDays/7</f>
        <v>0</v>
      </c>
      <c r="M20" s="18">
        <f>L20*(1-AbsentPct)*ShiftHrs*EffShare</f>
        <v>0</v>
      </c>
      <c r="N20" s="18">
        <f>MAX(0,J20-M20)</f>
        <v>0</v>
      </c>
      <c r="O20" s="18">
        <f>MIN(N20/OTEff,L20*(1-AbsentPct)*OTCapHrs*OTTakeUp)</f>
        <v>0</v>
      </c>
      <c r="P20" s="18">
        <f>O20*OTEff</f>
        <v>0</v>
      </c>
      <c r="Q20" s="18">
        <f>MAX(0,N20-P20)</f>
        <v>0</v>
      </c>
      <c r="R20" s="4">
        <f>ROUNDUP(ROUND(Q20/(ShiftHrs*EffShare*FlexFactor),9),0)</f>
        <v>0</v>
      </c>
      <c r="S20" s="4">
        <f>R20*ShiftHrs</f>
        <v>0</v>
      </c>
      <c r="T20" s="5">
        <f>L20*(1-AbsentPct)*ShiftHrs*Wage</f>
        <v>0</v>
      </c>
      <c r="U20" s="5">
        <f>O20*Wage*OTMult</f>
        <v>0</v>
      </c>
      <c r="V20" s="5">
        <f>S20*FlexWage</f>
        <v>0</v>
      </c>
      <c r="W20" s="5">
        <f>SUM(T20:V20)</f>
        <v>0</v>
      </c>
      <c r="X20" s="6">
        <f>W20/E20</f>
        <v>0</v>
      </c>
      <c r="Y20" s="7">
        <f>MIN(J20,M20)/M20</f>
        <v>0</v>
      </c>
      <c r="Z20" s="10">
        <f>IF(R20&gt;0,"Flex hire",IF(O20&gt;0,"Overtime","Roster covers"))</f>
        <v>0</v>
      </c>
    </row>
    <row r="21" spans="1:26">
      <c r="A21" s="16">
        <v>46344</v>
      </c>
      <c r="B21" s="10">
        <f>TEXT(A21,"ddd")</f>
        <v>0</v>
      </c>
      <c r="C21" s="10">
        <f>INT((A21-$A$5)/7)+1</f>
        <v>0</v>
      </c>
      <c r="D21" s="17">
        <v>61080</v>
      </c>
      <c r="E21" s="4">
        <f>D21*DemandMult</f>
        <v>0</v>
      </c>
      <c r="F21" s="18">
        <f>E21*Share_Stow/UPH_Stow</f>
        <v>0</v>
      </c>
      <c r="G21" s="18">
        <f>E21*Share_Pick/UPH_Pick</f>
        <v>0</v>
      </c>
      <c r="H21" s="18">
        <f>E21*Share_Pack/UPH_Pack</f>
        <v>0</v>
      </c>
      <c r="I21" s="18">
        <f>E21*Share_Ship/UPH_Ship</f>
        <v>0</v>
      </c>
      <c r="J21" s="18">
        <f>SUM(F21:I21)</f>
        <v>0</v>
      </c>
      <c r="K21" s="18">
        <f>J21/(ShiftHrs*EffShare)/(1-AbsentPct)</f>
        <v>0</v>
      </c>
      <c r="L21" s="18">
        <f>Roster*WorkDays/7</f>
        <v>0</v>
      </c>
      <c r="M21" s="18">
        <f>L21*(1-AbsentPct)*ShiftHrs*EffShare</f>
        <v>0</v>
      </c>
      <c r="N21" s="18">
        <f>MAX(0,J21-M21)</f>
        <v>0</v>
      </c>
      <c r="O21" s="18">
        <f>MIN(N21/OTEff,L21*(1-AbsentPct)*OTCapHrs*OTTakeUp)</f>
        <v>0</v>
      </c>
      <c r="P21" s="18">
        <f>O21*OTEff</f>
        <v>0</v>
      </c>
      <c r="Q21" s="18">
        <f>MAX(0,N21-P21)</f>
        <v>0</v>
      </c>
      <c r="R21" s="4">
        <f>ROUNDUP(ROUND(Q21/(ShiftHrs*EffShare*FlexFactor),9),0)</f>
        <v>0</v>
      </c>
      <c r="S21" s="4">
        <f>R21*ShiftHrs</f>
        <v>0</v>
      </c>
      <c r="T21" s="5">
        <f>L21*(1-AbsentPct)*ShiftHrs*Wage</f>
        <v>0</v>
      </c>
      <c r="U21" s="5">
        <f>O21*Wage*OTMult</f>
        <v>0</v>
      </c>
      <c r="V21" s="5">
        <f>S21*FlexWage</f>
        <v>0</v>
      </c>
      <c r="W21" s="5">
        <f>SUM(T21:V21)</f>
        <v>0</v>
      </c>
      <c r="X21" s="6">
        <f>W21/E21</f>
        <v>0</v>
      </c>
      <c r="Y21" s="7">
        <f>MIN(J21,M21)/M21</f>
        <v>0</v>
      </c>
      <c r="Z21" s="10">
        <f>IF(R21&gt;0,"Flex hire",IF(O21&gt;0,"Overtime","Roster covers"))</f>
        <v>0</v>
      </c>
    </row>
    <row r="22" spans="1:26">
      <c r="A22" s="16">
        <v>46345</v>
      </c>
      <c r="B22" s="10">
        <f>TEXT(A22,"ddd")</f>
        <v>0</v>
      </c>
      <c r="C22" s="10">
        <f>INT((A22-$A$5)/7)+1</f>
        <v>0</v>
      </c>
      <c r="D22" s="17">
        <v>61140</v>
      </c>
      <c r="E22" s="4">
        <f>D22*DemandMult</f>
        <v>0</v>
      </c>
      <c r="F22" s="18">
        <f>E22*Share_Stow/UPH_Stow</f>
        <v>0</v>
      </c>
      <c r="G22" s="18">
        <f>E22*Share_Pick/UPH_Pick</f>
        <v>0</v>
      </c>
      <c r="H22" s="18">
        <f>E22*Share_Pack/UPH_Pack</f>
        <v>0</v>
      </c>
      <c r="I22" s="18">
        <f>E22*Share_Ship/UPH_Ship</f>
        <v>0</v>
      </c>
      <c r="J22" s="18">
        <f>SUM(F22:I22)</f>
        <v>0</v>
      </c>
      <c r="K22" s="18">
        <f>J22/(ShiftHrs*EffShare)/(1-AbsentPct)</f>
        <v>0</v>
      </c>
      <c r="L22" s="18">
        <f>Roster*WorkDays/7</f>
        <v>0</v>
      </c>
      <c r="M22" s="18">
        <f>L22*(1-AbsentPct)*ShiftHrs*EffShare</f>
        <v>0</v>
      </c>
      <c r="N22" s="18">
        <f>MAX(0,J22-M22)</f>
        <v>0</v>
      </c>
      <c r="O22" s="18">
        <f>MIN(N22/OTEff,L22*(1-AbsentPct)*OTCapHrs*OTTakeUp)</f>
        <v>0</v>
      </c>
      <c r="P22" s="18">
        <f>O22*OTEff</f>
        <v>0</v>
      </c>
      <c r="Q22" s="18">
        <f>MAX(0,N22-P22)</f>
        <v>0</v>
      </c>
      <c r="R22" s="4">
        <f>ROUNDUP(ROUND(Q22/(ShiftHrs*EffShare*FlexFactor),9),0)</f>
        <v>0</v>
      </c>
      <c r="S22" s="4">
        <f>R22*ShiftHrs</f>
        <v>0</v>
      </c>
      <c r="T22" s="5">
        <f>L22*(1-AbsentPct)*ShiftHrs*Wage</f>
        <v>0</v>
      </c>
      <c r="U22" s="5">
        <f>O22*Wage*OTMult</f>
        <v>0</v>
      </c>
      <c r="V22" s="5">
        <f>S22*FlexWage</f>
        <v>0</v>
      </c>
      <c r="W22" s="5">
        <f>SUM(T22:V22)</f>
        <v>0</v>
      </c>
      <c r="X22" s="6">
        <f>W22/E22</f>
        <v>0</v>
      </c>
      <c r="Y22" s="7">
        <f>MIN(J22,M22)/M22</f>
        <v>0</v>
      </c>
      <c r="Z22" s="10">
        <f>IF(R22&gt;0,"Flex hire",IF(O22&gt;0,"Overtime","Roster covers"))</f>
        <v>0</v>
      </c>
    </row>
    <row r="23" spans="1:26">
      <c r="A23" s="16">
        <v>46346</v>
      </c>
      <c r="B23" s="10">
        <f>TEXT(A23,"ddd")</f>
        <v>0</v>
      </c>
      <c r="C23" s="10">
        <f>INT((A23-$A$5)/7)+1</f>
        <v>0</v>
      </c>
      <c r="D23" s="17">
        <v>65740</v>
      </c>
      <c r="E23" s="4">
        <f>D23*DemandMult</f>
        <v>0</v>
      </c>
      <c r="F23" s="18">
        <f>E23*Share_Stow/UPH_Stow</f>
        <v>0</v>
      </c>
      <c r="G23" s="18">
        <f>E23*Share_Pick/UPH_Pick</f>
        <v>0</v>
      </c>
      <c r="H23" s="18">
        <f>E23*Share_Pack/UPH_Pack</f>
        <v>0</v>
      </c>
      <c r="I23" s="18">
        <f>E23*Share_Ship/UPH_Ship</f>
        <v>0</v>
      </c>
      <c r="J23" s="18">
        <f>SUM(F23:I23)</f>
        <v>0</v>
      </c>
      <c r="K23" s="18">
        <f>J23/(ShiftHrs*EffShare)/(1-AbsentPct)</f>
        <v>0</v>
      </c>
      <c r="L23" s="18">
        <f>Roster*WorkDays/7</f>
        <v>0</v>
      </c>
      <c r="M23" s="18">
        <f>L23*(1-AbsentPct)*ShiftHrs*EffShare</f>
        <v>0</v>
      </c>
      <c r="N23" s="18">
        <f>MAX(0,J23-M23)</f>
        <v>0</v>
      </c>
      <c r="O23" s="18">
        <f>MIN(N23/OTEff,L23*(1-AbsentPct)*OTCapHrs*OTTakeUp)</f>
        <v>0</v>
      </c>
      <c r="P23" s="18">
        <f>O23*OTEff</f>
        <v>0</v>
      </c>
      <c r="Q23" s="18">
        <f>MAX(0,N23-P23)</f>
        <v>0</v>
      </c>
      <c r="R23" s="4">
        <f>ROUNDUP(ROUND(Q23/(ShiftHrs*EffShare*FlexFactor),9),0)</f>
        <v>0</v>
      </c>
      <c r="S23" s="4">
        <f>R23*ShiftHrs</f>
        <v>0</v>
      </c>
      <c r="T23" s="5">
        <f>L23*(1-AbsentPct)*ShiftHrs*Wage</f>
        <v>0</v>
      </c>
      <c r="U23" s="5">
        <f>O23*Wage*OTMult</f>
        <v>0</v>
      </c>
      <c r="V23" s="5">
        <f>S23*FlexWage</f>
        <v>0</v>
      </c>
      <c r="W23" s="5">
        <f>SUM(T23:V23)</f>
        <v>0</v>
      </c>
      <c r="X23" s="6">
        <f>W23/E23</f>
        <v>0</v>
      </c>
      <c r="Y23" s="7">
        <f>MIN(J23,M23)/M23</f>
        <v>0</v>
      </c>
      <c r="Z23" s="10">
        <f>IF(R23&gt;0,"Flex hire",IF(O23&gt;0,"Overtime","Roster covers"))</f>
        <v>0</v>
      </c>
    </row>
    <row r="24" spans="1:26">
      <c r="A24" s="16">
        <v>46347</v>
      </c>
      <c r="B24" s="10">
        <f>TEXT(A24,"ddd")</f>
        <v>0</v>
      </c>
      <c r="C24" s="10">
        <f>INT((A24-$A$5)/7)+1</f>
        <v>0</v>
      </c>
      <c r="D24" s="17">
        <v>55870</v>
      </c>
      <c r="E24" s="4">
        <f>D24*DemandMult</f>
        <v>0</v>
      </c>
      <c r="F24" s="18">
        <f>E24*Share_Stow/UPH_Stow</f>
        <v>0</v>
      </c>
      <c r="G24" s="18">
        <f>E24*Share_Pick/UPH_Pick</f>
        <v>0</v>
      </c>
      <c r="H24" s="18">
        <f>E24*Share_Pack/UPH_Pack</f>
        <v>0</v>
      </c>
      <c r="I24" s="18">
        <f>E24*Share_Ship/UPH_Ship</f>
        <v>0</v>
      </c>
      <c r="J24" s="18">
        <f>SUM(F24:I24)</f>
        <v>0</v>
      </c>
      <c r="K24" s="18">
        <f>J24/(ShiftHrs*EffShare)/(1-AbsentPct)</f>
        <v>0</v>
      </c>
      <c r="L24" s="18">
        <f>Roster*WorkDays/7</f>
        <v>0</v>
      </c>
      <c r="M24" s="18">
        <f>L24*(1-AbsentPct)*ShiftHrs*EffShare</f>
        <v>0</v>
      </c>
      <c r="N24" s="18">
        <f>MAX(0,J24-M24)</f>
        <v>0</v>
      </c>
      <c r="O24" s="18">
        <f>MIN(N24/OTEff,L24*(1-AbsentPct)*OTCapHrs*OTTakeUp)</f>
        <v>0</v>
      </c>
      <c r="P24" s="18">
        <f>O24*OTEff</f>
        <v>0</v>
      </c>
      <c r="Q24" s="18">
        <f>MAX(0,N24-P24)</f>
        <v>0</v>
      </c>
      <c r="R24" s="4">
        <f>ROUNDUP(ROUND(Q24/(ShiftHrs*EffShare*FlexFactor),9),0)</f>
        <v>0</v>
      </c>
      <c r="S24" s="4">
        <f>R24*ShiftHrs</f>
        <v>0</v>
      </c>
      <c r="T24" s="5">
        <f>L24*(1-AbsentPct)*ShiftHrs*Wage</f>
        <v>0</v>
      </c>
      <c r="U24" s="5">
        <f>O24*Wage*OTMult</f>
        <v>0</v>
      </c>
      <c r="V24" s="5">
        <f>S24*FlexWage</f>
        <v>0</v>
      </c>
      <c r="W24" s="5">
        <f>SUM(T24:V24)</f>
        <v>0</v>
      </c>
      <c r="X24" s="6">
        <f>W24/E24</f>
        <v>0</v>
      </c>
      <c r="Y24" s="7">
        <f>MIN(J24,M24)/M24</f>
        <v>0</v>
      </c>
      <c r="Z24" s="10">
        <f>IF(R24&gt;0,"Flex hire",IF(O24&gt;0,"Overtime","Roster covers"))</f>
        <v>0</v>
      </c>
    </row>
    <row r="25" spans="1:26">
      <c r="A25" s="16">
        <v>46348</v>
      </c>
      <c r="B25" s="10">
        <f>TEXT(A25,"ddd")</f>
        <v>0</v>
      </c>
      <c r="C25" s="10">
        <f>INT((A25-$A$5)/7)+1</f>
        <v>0</v>
      </c>
      <c r="D25" s="17">
        <v>42930</v>
      </c>
      <c r="E25" s="4">
        <f>D25*DemandMult</f>
        <v>0</v>
      </c>
      <c r="F25" s="18">
        <f>E25*Share_Stow/UPH_Stow</f>
        <v>0</v>
      </c>
      <c r="G25" s="18">
        <f>E25*Share_Pick/UPH_Pick</f>
        <v>0</v>
      </c>
      <c r="H25" s="18">
        <f>E25*Share_Pack/UPH_Pack</f>
        <v>0</v>
      </c>
      <c r="I25" s="18">
        <f>E25*Share_Ship/UPH_Ship</f>
        <v>0</v>
      </c>
      <c r="J25" s="18">
        <f>SUM(F25:I25)</f>
        <v>0</v>
      </c>
      <c r="K25" s="18">
        <f>J25/(ShiftHrs*EffShare)/(1-AbsentPct)</f>
        <v>0</v>
      </c>
      <c r="L25" s="18">
        <f>Roster*WorkDays/7</f>
        <v>0</v>
      </c>
      <c r="M25" s="18">
        <f>L25*(1-AbsentPct)*ShiftHrs*EffShare</f>
        <v>0</v>
      </c>
      <c r="N25" s="18">
        <f>MAX(0,J25-M25)</f>
        <v>0</v>
      </c>
      <c r="O25" s="18">
        <f>MIN(N25/OTEff,L25*(1-AbsentPct)*OTCapHrs*OTTakeUp)</f>
        <v>0</v>
      </c>
      <c r="P25" s="18">
        <f>O25*OTEff</f>
        <v>0</v>
      </c>
      <c r="Q25" s="18">
        <f>MAX(0,N25-P25)</f>
        <v>0</v>
      </c>
      <c r="R25" s="4">
        <f>ROUNDUP(ROUND(Q25/(ShiftHrs*EffShare*FlexFactor),9),0)</f>
        <v>0</v>
      </c>
      <c r="S25" s="4">
        <f>R25*ShiftHrs</f>
        <v>0</v>
      </c>
      <c r="T25" s="5">
        <f>L25*(1-AbsentPct)*ShiftHrs*Wage</f>
        <v>0</v>
      </c>
      <c r="U25" s="5">
        <f>O25*Wage*OTMult</f>
        <v>0</v>
      </c>
      <c r="V25" s="5">
        <f>S25*FlexWage</f>
        <v>0</v>
      </c>
      <c r="W25" s="5">
        <f>SUM(T25:V25)</f>
        <v>0</v>
      </c>
      <c r="X25" s="6">
        <f>W25/E25</f>
        <v>0</v>
      </c>
      <c r="Y25" s="7">
        <f>MIN(J25,M25)/M25</f>
        <v>0</v>
      </c>
      <c r="Z25" s="10">
        <f>IF(R25&gt;0,"Flex hire",IF(O25&gt;0,"Overtime","Roster covers"))</f>
        <v>0</v>
      </c>
    </row>
    <row r="26" spans="1:26">
      <c r="A26" s="16">
        <v>46349</v>
      </c>
      <c r="B26" s="10">
        <f>TEXT(A26,"ddd")</f>
        <v>0</v>
      </c>
      <c r="C26" s="10">
        <f>INT((A26-$A$5)/7)+1</f>
        <v>0</v>
      </c>
      <c r="D26" s="17">
        <v>69940</v>
      </c>
      <c r="E26" s="4">
        <f>D26*DemandMult</f>
        <v>0</v>
      </c>
      <c r="F26" s="18">
        <f>E26*Share_Stow/UPH_Stow</f>
        <v>0</v>
      </c>
      <c r="G26" s="18">
        <f>E26*Share_Pick/UPH_Pick</f>
        <v>0</v>
      </c>
      <c r="H26" s="18">
        <f>E26*Share_Pack/UPH_Pack</f>
        <v>0</v>
      </c>
      <c r="I26" s="18">
        <f>E26*Share_Ship/UPH_Ship</f>
        <v>0</v>
      </c>
      <c r="J26" s="18">
        <f>SUM(F26:I26)</f>
        <v>0</v>
      </c>
      <c r="K26" s="18">
        <f>J26/(ShiftHrs*EffShare)/(1-AbsentPct)</f>
        <v>0</v>
      </c>
      <c r="L26" s="18">
        <f>Roster*WorkDays/7</f>
        <v>0</v>
      </c>
      <c r="M26" s="18">
        <f>L26*(1-AbsentPct)*ShiftHrs*EffShare</f>
        <v>0</v>
      </c>
      <c r="N26" s="18">
        <f>MAX(0,J26-M26)</f>
        <v>0</v>
      </c>
      <c r="O26" s="18">
        <f>MIN(N26/OTEff,L26*(1-AbsentPct)*OTCapHrs*OTTakeUp)</f>
        <v>0</v>
      </c>
      <c r="P26" s="18">
        <f>O26*OTEff</f>
        <v>0</v>
      </c>
      <c r="Q26" s="18">
        <f>MAX(0,N26-P26)</f>
        <v>0</v>
      </c>
      <c r="R26" s="4">
        <f>ROUNDUP(ROUND(Q26/(ShiftHrs*EffShare*FlexFactor),9),0)</f>
        <v>0</v>
      </c>
      <c r="S26" s="4">
        <f>R26*ShiftHrs</f>
        <v>0</v>
      </c>
      <c r="T26" s="5">
        <f>L26*(1-AbsentPct)*ShiftHrs*Wage</f>
        <v>0</v>
      </c>
      <c r="U26" s="5">
        <f>O26*Wage*OTMult</f>
        <v>0</v>
      </c>
      <c r="V26" s="5">
        <f>S26*FlexWage</f>
        <v>0</v>
      </c>
      <c r="W26" s="5">
        <f>SUM(T26:V26)</f>
        <v>0</v>
      </c>
      <c r="X26" s="6">
        <f>W26/E26</f>
        <v>0</v>
      </c>
      <c r="Y26" s="7">
        <f>MIN(J26,M26)/M26</f>
        <v>0</v>
      </c>
      <c r="Z26" s="10">
        <f>IF(R26&gt;0,"Flex hire",IF(O26&gt;0,"Overtime","Roster covers"))</f>
        <v>0</v>
      </c>
    </row>
    <row r="27" spans="1:26">
      <c r="A27" s="16">
        <v>46350</v>
      </c>
      <c r="B27" s="10">
        <f>TEXT(A27,"ddd")</f>
        <v>0</v>
      </c>
      <c r="C27" s="10">
        <f>INT((A27-$A$5)/7)+1</f>
        <v>0</v>
      </c>
      <c r="D27" s="17">
        <v>66800</v>
      </c>
      <c r="E27" s="4">
        <f>D27*DemandMult</f>
        <v>0</v>
      </c>
      <c r="F27" s="18">
        <f>E27*Share_Stow/UPH_Stow</f>
        <v>0</v>
      </c>
      <c r="G27" s="18">
        <f>E27*Share_Pick/UPH_Pick</f>
        <v>0</v>
      </c>
      <c r="H27" s="18">
        <f>E27*Share_Pack/UPH_Pack</f>
        <v>0</v>
      </c>
      <c r="I27" s="18">
        <f>E27*Share_Ship/UPH_Ship</f>
        <v>0</v>
      </c>
      <c r="J27" s="18">
        <f>SUM(F27:I27)</f>
        <v>0</v>
      </c>
      <c r="K27" s="18">
        <f>J27/(ShiftHrs*EffShare)/(1-AbsentPct)</f>
        <v>0</v>
      </c>
      <c r="L27" s="18">
        <f>Roster*WorkDays/7</f>
        <v>0</v>
      </c>
      <c r="M27" s="18">
        <f>L27*(1-AbsentPct)*ShiftHrs*EffShare</f>
        <v>0</v>
      </c>
      <c r="N27" s="18">
        <f>MAX(0,J27-M27)</f>
        <v>0</v>
      </c>
      <c r="O27" s="18">
        <f>MIN(N27/OTEff,L27*(1-AbsentPct)*OTCapHrs*OTTakeUp)</f>
        <v>0</v>
      </c>
      <c r="P27" s="18">
        <f>O27*OTEff</f>
        <v>0</v>
      </c>
      <c r="Q27" s="18">
        <f>MAX(0,N27-P27)</f>
        <v>0</v>
      </c>
      <c r="R27" s="4">
        <f>ROUNDUP(ROUND(Q27/(ShiftHrs*EffShare*FlexFactor),9),0)</f>
        <v>0</v>
      </c>
      <c r="S27" s="4">
        <f>R27*ShiftHrs</f>
        <v>0</v>
      </c>
      <c r="T27" s="5">
        <f>L27*(1-AbsentPct)*ShiftHrs*Wage</f>
        <v>0</v>
      </c>
      <c r="U27" s="5">
        <f>O27*Wage*OTMult</f>
        <v>0</v>
      </c>
      <c r="V27" s="5">
        <f>S27*FlexWage</f>
        <v>0</v>
      </c>
      <c r="W27" s="5">
        <f>SUM(T27:V27)</f>
        <v>0</v>
      </c>
      <c r="X27" s="6">
        <f>W27/E27</f>
        <v>0</v>
      </c>
      <c r="Y27" s="7">
        <f>MIN(J27,M27)/M27</f>
        <v>0</v>
      </c>
      <c r="Z27" s="10">
        <f>IF(R27&gt;0,"Flex hire",IF(O27&gt;0,"Overtime","Roster covers"))</f>
        <v>0</v>
      </c>
    </row>
    <row r="28" spans="1:26">
      <c r="A28" s="16">
        <v>46351</v>
      </c>
      <c r="B28" s="10">
        <f>TEXT(A28,"ddd")</f>
        <v>0</v>
      </c>
      <c r="C28" s="10">
        <f>INT((A28-$A$5)/7)+1</f>
        <v>0</v>
      </c>
      <c r="D28" s="17">
        <v>66380</v>
      </c>
      <c r="E28" s="4">
        <f>D28*DemandMult</f>
        <v>0</v>
      </c>
      <c r="F28" s="18">
        <f>E28*Share_Stow/UPH_Stow</f>
        <v>0</v>
      </c>
      <c r="G28" s="18">
        <f>E28*Share_Pick/UPH_Pick</f>
        <v>0</v>
      </c>
      <c r="H28" s="18">
        <f>E28*Share_Pack/UPH_Pack</f>
        <v>0</v>
      </c>
      <c r="I28" s="18">
        <f>E28*Share_Ship/UPH_Ship</f>
        <v>0</v>
      </c>
      <c r="J28" s="18">
        <f>SUM(F28:I28)</f>
        <v>0</v>
      </c>
      <c r="K28" s="18">
        <f>J28/(ShiftHrs*EffShare)/(1-AbsentPct)</f>
        <v>0</v>
      </c>
      <c r="L28" s="18">
        <f>Roster*WorkDays/7</f>
        <v>0</v>
      </c>
      <c r="M28" s="18">
        <f>L28*(1-AbsentPct)*ShiftHrs*EffShare</f>
        <v>0</v>
      </c>
      <c r="N28" s="18">
        <f>MAX(0,J28-M28)</f>
        <v>0</v>
      </c>
      <c r="O28" s="18">
        <f>MIN(N28/OTEff,L28*(1-AbsentPct)*OTCapHrs*OTTakeUp)</f>
        <v>0</v>
      </c>
      <c r="P28" s="18">
        <f>O28*OTEff</f>
        <v>0</v>
      </c>
      <c r="Q28" s="18">
        <f>MAX(0,N28-P28)</f>
        <v>0</v>
      </c>
      <c r="R28" s="4">
        <f>ROUNDUP(ROUND(Q28/(ShiftHrs*EffShare*FlexFactor),9),0)</f>
        <v>0</v>
      </c>
      <c r="S28" s="4">
        <f>R28*ShiftHrs</f>
        <v>0</v>
      </c>
      <c r="T28" s="5">
        <f>L28*(1-AbsentPct)*ShiftHrs*Wage</f>
        <v>0</v>
      </c>
      <c r="U28" s="5">
        <f>O28*Wage*OTMult</f>
        <v>0</v>
      </c>
      <c r="V28" s="5">
        <f>S28*FlexWage</f>
        <v>0</v>
      </c>
      <c r="W28" s="5">
        <f>SUM(T28:V28)</f>
        <v>0</v>
      </c>
      <c r="X28" s="6">
        <f>W28/E28</f>
        <v>0</v>
      </c>
      <c r="Y28" s="7">
        <f>MIN(J28,M28)/M28</f>
        <v>0</v>
      </c>
      <c r="Z28" s="10">
        <f>IF(R28&gt;0,"Flex hire",IF(O28&gt;0,"Overtime","Roster covers"))</f>
        <v>0</v>
      </c>
    </row>
    <row r="29" spans="1:26">
      <c r="A29" s="16">
        <v>46352</v>
      </c>
      <c r="B29" s="10">
        <f>TEXT(A29,"ddd")</f>
        <v>0</v>
      </c>
      <c r="C29" s="10">
        <f>INT((A29-$A$5)/7)+1</f>
        <v>0</v>
      </c>
      <c r="D29" s="17">
        <v>66240</v>
      </c>
      <c r="E29" s="4">
        <f>D29*DemandMult</f>
        <v>0</v>
      </c>
      <c r="F29" s="18">
        <f>E29*Share_Stow/UPH_Stow</f>
        <v>0</v>
      </c>
      <c r="G29" s="18">
        <f>E29*Share_Pick/UPH_Pick</f>
        <v>0</v>
      </c>
      <c r="H29" s="18">
        <f>E29*Share_Pack/UPH_Pack</f>
        <v>0</v>
      </c>
      <c r="I29" s="18">
        <f>E29*Share_Ship/UPH_Ship</f>
        <v>0</v>
      </c>
      <c r="J29" s="18">
        <f>SUM(F29:I29)</f>
        <v>0</v>
      </c>
      <c r="K29" s="18">
        <f>J29/(ShiftHrs*EffShare)/(1-AbsentPct)</f>
        <v>0</v>
      </c>
      <c r="L29" s="18">
        <f>Roster*WorkDays/7</f>
        <v>0</v>
      </c>
      <c r="M29" s="18">
        <f>L29*(1-AbsentPct)*ShiftHrs*EffShare</f>
        <v>0</v>
      </c>
      <c r="N29" s="18">
        <f>MAX(0,J29-M29)</f>
        <v>0</v>
      </c>
      <c r="O29" s="18">
        <f>MIN(N29/OTEff,L29*(1-AbsentPct)*OTCapHrs*OTTakeUp)</f>
        <v>0</v>
      </c>
      <c r="P29" s="18">
        <f>O29*OTEff</f>
        <v>0</v>
      </c>
      <c r="Q29" s="18">
        <f>MAX(0,N29-P29)</f>
        <v>0</v>
      </c>
      <c r="R29" s="4">
        <f>ROUNDUP(ROUND(Q29/(ShiftHrs*EffShare*FlexFactor),9),0)</f>
        <v>0</v>
      </c>
      <c r="S29" s="4">
        <f>R29*ShiftHrs</f>
        <v>0</v>
      </c>
      <c r="T29" s="5">
        <f>L29*(1-AbsentPct)*ShiftHrs*Wage</f>
        <v>0</v>
      </c>
      <c r="U29" s="5">
        <f>O29*Wage*OTMult</f>
        <v>0</v>
      </c>
      <c r="V29" s="5">
        <f>S29*FlexWage</f>
        <v>0</v>
      </c>
      <c r="W29" s="5">
        <f>SUM(T29:V29)</f>
        <v>0</v>
      </c>
      <c r="X29" s="6">
        <f>W29/E29</f>
        <v>0</v>
      </c>
      <c r="Y29" s="7">
        <f>MIN(J29,M29)/M29</f>
        <v>0</v>
      </c>
      <c r="Z29" s="10">
        <f>IF(R29&gt;0,"Flex hire",IF(O29&gt;0,"Overtime","Roster covers"))</f>
        <v>0</v>
      </c>
    </row>
    <row r="30" spans="1:26">
      <c r="A30" s="16">
        <v>46353</v>
      </c>
      <c r="B30" s="10">
        <f>TEXT(A30,"ddd")</f>
        <v>0</v>
      </c>
      <c r="C30" s="10">
        <f>INT((A30-$A$5)/7)+1</f>
        <v>0</v>
      </c>
      <c r="D30" s="17">
        <v>70070</v>
      </c>
      <c r="E30" s="4">
        <f>D30*DemandMult</f>
        <v>0</v>
      </c>
      <c r="F30" s="18">
        <f>E30*Share_Stow/UPH_Stow</f>
        <v>0</v>
      </c>
      <c r="G30" s="18">
        <f>E30*Share_Pick/UPH_Pick</f>
        <v>0</v>
      </c>
      <c r="H30" s="18">
        <f>E30*Share_Pack/UPH_Pack</f>
        <v>0</v>
      </c>
      <c r="I30" s="18">
        <f>E30*Share_Ship/UPH_Ship</f>
        <v>0</v>
      </c>
      <c r="J30" s="18">
        <f>SUM(F30:I30)</f>
        <v>0</v>
      </c>
      <c r="K30" s="18">
        <f>J30/(ShiftHrs*EffShare)/(1-AbsentPct)</f>
        <v>0</v>
      </c>
      <c r="L30" s="18">
        <f>Roster*WorkDays/7</f>
        <v>0</v>
      </c>
      <c r="M30" s="18">
        <f>L30*(1-AbsentPct)*ShiftHrs*EffShare</f>
        <v>0</v>
      </c>
      <c r="N30" s="18">
        <f>MAX(0,J30-M30)</f>
        <v>0</v>
      </c>
      <c r="O30" s="18">
        <f>MIN(N30/OTEff,L30*(1-AbsentPct)*OTCapHrs*OTTakeUp)</f>
        <v>0</v>
      </c>
      <c r="P30" s="18">
        <f>O30*OTEff</f>
        <v>0</v>
      </c>
      <c r="Q30" s="18">
        <f>MAX(0,N30-P30)</f>
        <v>0</v>
      </c>
      <c r="R30" s="4">
        <f>ROUNDUP(ROUND(Q30/(ShiftHrs*EffShare*FlexFactor),9),0)</f>
        <v>0</v>
      </c>
      <c r="S30" s="4">
        <f>R30*ShiftHrs</f>
        <v>0</v>
      </c>
      <c r="T30" s="5">
        <f>L30*(1-AbsentPct)*ShiftHrs*Wage</f>
        <v>0</v>
      </c>
      <c r="U30" s="5">
        <f>O30*Wage*OTMult</f>
        <v>0</v>
      </c>
      <c r="V30" s="5">
        <f>S30*FlexWage</f>
        <v>0</v>
      </c>
      <c r="W30" s="5">
        <f>SUM(T30:V30)</f>
        <v>0</v>
      </c>
      <c r="X30" s="6">
        <f>W30/E30</f>
        <v>0</v>
      </c>
      <c r="Y30" s="7">
        <f>MIN(J30,M30)/M30</f>
        <v>0</v>
      </c>
      <c r="Z30" s="10">
        <f>IF(R30&gt;0,"Flex hire",IF(O30&gt;0,"Overtime","Roster covers"))</f>
        <v>0</v>
      </c>
    </row>
    <row r="31" spans="1:26">
      <c r="A31" s="16">
        <v>46354</v>
      </c>
      <c r="B31" s="10">
        <f>TEXT(A31,"ddd")</f>
        <v>0</v>
      </c>
      <c r="C31" s="10">
        <f>INT((A31-$A$5)/7)+1</f>
        <v>0</v>
      </c>
      <c r="D31" s="17">
        <v>63480</v>
      </c>
      <c r="E31" s="4">
        <f>D31*DemandMult</f>
        <v>0</v>
      </c>
      <c r="F31" s="18">
        <f>E31*Share_Stow/UPH_Stow</f>
        <v>0</v>
      </c>
      <c r="G31" s="18">
        <f>E31*Share_Pick/UPH_Pick</f>
        <v>0</v>
      </c>
      <c r="H31" s="18">
        <f>E31*Share_Pack/UPH_Pack</f>
        <v>0</v>
      </c>
      <c r="I31" s="18">
        <f>E31*Share_Ship/UPH_Ship</f>
        <v>0</v>
      </c>
      <c r="J31" s="18">
        <f>SUM(F31:I31)</f>
        <v>0</v>
      </c>
      <c r="K31" s="18">
        <f>J31/(ShiftHrs*EffShare)/(1-AbsentPct)</f>
        <v>0</v>
      </c>
      <c r="L31" s="18">
        <f>Roster*WorkDays/7</f>
        <v>0</v>
      </c>
      <c r="M31" s="18">
        <f>L31*(1-AbsentPct)*ShiftHrs*EffShare</f>
        <v>0</v>
      </c>
      <c r="N31" s="18">
        <f>MAX(0,J31-M31)</f>
        <v>0</v>
      </c>
      <c r="O31" s="18">
        <f>MIN(N31/OTEff,L31*(1-AbsentPct)*OTCapHrs*OTTakeUp)</f>
        <v>0</v>
      </c>
      <c r="P31" s="18">
        <f>O31*OTEff</f>
        <v>0</v>
      </c>
      <c r="Q31" s="18">
        <f>MAX(0,N31-P31)</f>
        <v>0</v>
      </c>
      <c r="R31" s="4">
        <f>ROUNDUP(ROUND(Q31/(ShiftHrs*EffShare*FlexFactor),9),0)</f>
        <v>0</v>
      </c>
      <c r="S31" s="4">
        <f>R31*ShiftHrs</f>
        <v>0</v>
      </c>
      <c r="T31" s="5">
        <f>L31*(1-AbsentPct)*ShiftHrs*Wage</f>
        <v>0</v>
      </c>
      <c r="U31" s="5">
        <f>O31*Wage*OTMult</f>
        <v>0</v>
      </c>
      <c r="V31" s="5">
        <f>S31*FlexWage</f>
        <v>0</v>
      </c>
      <c r="W31" s="5">
        <f>SUM(T31:V31)</f>
        <v>0</v>
      </c>
      <c r="X31" s="6">
        <f>W31/E31</f>
        <v>0</v>
      </c>
      <c r="Y31" s="7">
        <f>MIN(J31,M31)/M31</f>
        <v>0</v>
      </c>
      <c r="Z31" s="10">
        <f>IF(R31&gt;0,"Flex hire",IF(O31&gt;0,"Overtime","Roster covers"))</f>
        <v>0</v>
      </c>
    </row>
    <row r="32" spans="1:26">
      <c r="A32" s="16">
        <v>46355</v>
      </c>
      <c r="B32" s="10">
        <f>TEXT(A32,"ddd")</f>
        <v>0</v>
      </c>
      <c r="C32" s="10">
        <f>INT((A32-$A$5)/7)+1</f>
        <v>0</v>
      </c>
      <c r="D32" s="17">
        <v>46200</v>
      </c>
      <c r="E32" s="4">
        <f>D32*DemandMult</f>
        <v>0</v>
      </c>
      <c r="F32" s="18">
        <f>E32*Share_Stow/UPH_Stow</f>
        <v>0</v>
      </c>
      <c r="G32" s="18">
        <f>E32*Share_Pick/UPH_Pick</f>
        <v>0</v>
      </c>
      <c r="H32" s="18">
        <f>E32*Share_Pack/UPH_Pack</f>
        <v>0</v>
      </c>
      <c r="I32" s="18">
        <f>E32*Share_Ship/UPH_Ship</f>
        <v>0</v>
      </c>
      <c r="J32" s="18">
        <f>SUM(F32:I32)</f>
        <v>0</v>
      </c>
      <c r="K32" s="18">
        <f>J32/(ShiftHrs*EffShare)/(1-AbsentPct)</f>
        <v>0</v>
      </c>
      <c r="L32" s="18">
        <f>Roster*WorkDays/7</f>
        <v>0</v>
      </c>
      <c r="M32" s="18">
        <f>L32*(1-AbsentPct)*ShiftHrs*EffShare</f>
        <v>0</v>
      </c>
      <c r="N32" s="18">
        <f>MAX(0,J32-M32)</f>
        <v>0</v>
      </c>
      <c r="O32" s="18">
        <f>MIN(N32/OTEff,L32*(1-AbsentPct)*OTCapHrs*OTTakeUp)</f>
        <v>0</v>
      </c>
      <c r="P32" s="18">
        <f>O32*OTEff</f>
        <v>0</v>
      </c>
      <c r="Q32" s="18">
        <f>MAX(0,N32-P32)</f>
        <v>0</v>
      </c>
      <c r="R32" s="4">
        <f>ROUNDUP(ROUND(Q32/(ShiftHrs*EffShare*FlexFactor),9),0)</f>
        <v>0</v>
      </c>
      <c r="S32" s="4">
        <f>R32*ShiftHrs</f>
        <v>0</v>
      </c>
      <c r="T32" s="5">
        <f>L32*(1-AbsentPct)*ShiftHrs*Wage</f>
        <v>0</v>
      </c>
      <c r="U32" s="5">
        <f>O32*Wage*OTMult</f>
        <v>0</v>
      </c>
      <c r="V32" s="5">
        <f>S32*FlexWage</f>
        <v>0</v>
      </c>
      <c r="W32" s="5">
        <f>SUM(T32:V32)</f>
        <v>0</v>
      </c>
      <c r="X32" s="6">
        <f>W32/E32</f>
        <v>0</v>
      </c>
      <c r="Y32" s="7">
        <f>MIN(J32,M32)/M32</f>
        <v>0</v>
      </c>
      <c r="Z32" s="10">
        <f>IF(R32&gt;0,"Flex hire",IF(O32&gt;0,"Overtime","Roster covers"))</f>
        <v>0</v>
      </c>
    </row>
    <row r="33" spans="1:26">
      <c r="A33" s="16">
        <v>46356</v>
      </c>
      <c r="B33" s="10">
        <f>TEXT(A33,"ddd")</f>
        <v>0</v>
      </c>
      <c r="C33" s="10">
        <f>INT((A33-$A$5)/7)+1</f>
        <v>0</v>
      </c>
      <c r="D33" s="17">
        <v>71280</v>
      </c>
      <c r="E33" s="4">
        <f>D33*DemandMult</f>
        <v>0</v>
      </c>
      <c r="F33" s="18">
        <f>E33*Share_Stow/UPH_Stow</f>
        <v>0</v>
      </c>
      <c r="G33" s="18">
        <f>E33*Share_Pick/UPH_Pick</f>
        <v>0</v>
      </c>
      <c r="H33" s="18">
        <f>E33*Share_Pack/UPH_Pack</f>
        <v>0</v>
      </c>
      <c r="I33" s="18">
        <f>E33*Share_Ship/UPH_Ship</f>
        <v>0</v>
      </c>
      <c r="J33" s="18">
        <f>SUM(F33:I33)</f>
        <v>0</v>
      </c>
      <c r="K33" s="18">
        <f>J33/(ShiftHrs*EffShare)/(1-AbsentPct)</f>
        <v>0</v>
      </c>
      <c r="L33" s="18">
        <f>Roster*WorkDays/7</f>
        <v>0</v>
      </c>
      <c r="M33" s="18">
        <f>L33*(1-AbsentPct)*ShiftHrs*EffShare</f>
        <v>0</v>
      </c>
      <c r="N33" s="18">
        <f>MAX(0,J33-M33)</f>
        <v>0</v>
      </c>
      <c r="O33" s="18">
        <f>MIN(N33/OTEff,L33*(1-AbsentPct)*OTCapHrs*OTTakeUp)</f>
        <v>0</v>
      </c>
      <c r="P33" s="18">
        <f>O33*OTEff</f>
        <v>0</v>
      </c>
      <c r="Q33" s="18">
        <f>MAX(0,N33-P33)</f>
        <v>0</v>
      </c>
      <c r="R33" s="4">
        <f>ROUNDUP(ROUND(Q33/(ShiftHrs*EffShare*FlexFactor),9),0)</f>
        <v>0</v>
      </c>
      <c r="S33" s="4">
        <f>R33*ShiftHrs</f>
        <v>0</v>
      </c>
      <c r="T33" s="5">
        <f>L33*(1-AbsentPct)*ShiftHrs*Wage</f>
        <v>0</v>
      </c>
      <c r="U33" s="5">
        <f>O33*Wage*OTMult</f>
        <v>0</v>
      </c>
      <c r="V33" s="5">
        <f>S33*FlexWage</f>
        <v>0</v>
      </c>
      <c r="W33" s="5">
        <f>SUM(T33:V33)</f>
        <v>0</v>
      </c>
      <c r="X33" s="6">
        <f>W33/E33</f>
        <v>0</v>
      </c>
      <c r="Y33" s="7">
        <f>MIN(J33,M33)/M33</f>
        <v>0</v>
      </c>
      <c r="Z33" s="10">
        <f>IF(R33&gt;0,"Flex hire",IF(O33&gt;0,"Overtime","Roster covers"))</f>
        <v>0</v>
      </c>
    </row>
    <row r="34" spans="1:26">
      <c r="A34" s="16">
        <v>46357</v>
      </c>
      <c r="B34" s="10">
        <f>TEXT(A34,"ddd")</f>
        <v>0</v>
      </c>
      <c r="C34" s="10">
        <f>INT((A34-$A$5)/7)+1</f>
        <v>0</v>
      </c>
      <c r="D34" s="17">
        <v>70730</v>
      </c>
      <c r="E34" s="4">
        <f>D34*DemandMult</f>
        <v>0</v>
      </c>
      <c r="F34" s="18">
        <f>E34*Share_Stow/UPH_Stow</f>
        <v>0</v>
      </c>
      <c r="G34" s="18">
        <f>E34*Share_Pick/UPH_Pick</f>
        <v>0</v>
      </c>
      <c r="H34" s="18">
        <f>E34*Share_Pack/UPH_Pack</f>
        <v>0</v>
      </c>
      <c r="I34" s="18">
        <f>E34*Share_Ship/UPH_Ship</f>
        <v>0</v>
      </c>
      <c r="J34" s="18">
        <f>SUM(F34:I34)</f>
        <v>0</v>
      </c>
      <c r="K34" s="18">
        <f>J34/(ShiftHrs*EffShare)/(1-AbsentPct)</f>
        <v>0</v>
      </c>
      <c r="L34" s="18">
        <f>Roster*WorkDays/7</f>
        <v>0</v>
      </c>
      <c r="M34" s="18">
        <f>L34*(1-AbsentPct)*ShiftHrs*EffShare</f>
        <v>0</v>
      </c>
      <c r="N34" s="18">
        <f>MAX(0,J34-M34)</f>
        <v>0</v>
      </c>
      <c r="O34" s="18">
        <f>MIN(N34/OTEff,L34*(1-AbsentPct)*OTCapHrs*OTTakeUp)</f>
        <v>0</v>
      </c>
      <c r="P34" s="18">
        <f>O34*OTEff</f>
        <v>0</v>
      </c>
      <c r="Q34" s="18">
        <f>MAX(0,N34-P34)</f>
        <v>0</v>
      </c>
      <c r="R34" s="4">
        <f>ROUNDUP(ROUND(Q34/(ShiftHrs*EffShare*FlexFactor),9),0)</f>
        <v>0</v>
      </c>
      <c r="S34" s="4">
        <f>R34*ShiftHrs</f>
        <v>0</v>
      </c>
      <c r="T34" s="5">
        <f>L34*(1-AbsentPct)*ShiftHrs*Wage</f>
        <v>0</v>
      </c>
      <c r="U34" s="5">
        <f>O34*Wage*OTMult</f>
        <v>0</v>
      </c>
      <c r="V34" s="5">
        <f>S34*FlexWage</f>
        <v>0</v>
      </c>
      <c r="W34" s="5">
        <f>SUM(T34:V34)</f>
        <v>0</v>
      </c>
      <c r="X34" s="6">
        <f>W34/E34</f>
        <v>0</v>
      </c>
      <c r="Y34" s="7">
        <f>MIN(J34,M34)/M34</f>
        <v>0</v>
      </c>
      <c r="Z34" s="10">
        <f>IF(R34&gt;0,"Flex hire",IF(O34&gt;0,"Overtime","Roster covers"))</f>
        <v>0</v>
      </c>
    </row>
    <row r="35" spans="1:26">
      <c r="A35" s="16">
        <v>46358</v>
      </c>
      <c r="B35" s="10">
        <f>TEXT(A35,"ddd")</f>
        <v>0</v>
      </c>
      <c r="C35" s="10">
        <f>INT((A35-$A$5)/7)+1</f>
        <v>0</v>
      </c>
      <c r="D35" s="17">
        <v>68190</v>
      </c>
      <c r="E35" s="4">
        <f>D35*DemandMult</f>
        <v>0</v>
      </c>
      <c r="F35" s="18">
        <f>E35*Share_Stow/UPH_Stow</f>
        <v>0</v>
      </c>
      <c r="G35" s="18">
        <f>E35*Share_Pick/UPH_Pick</f>
        <v>0</v>
      </c>
      <c r="H35" s="18">
        <f>E35*Share_Pack/UPH_Pack</f>
        <v>0</v>
      </c>
      <c r="I35" s="18">
        <f>E35*Share_Ship/UPH_Ship</f>
        <v>0</v>
      </c>
      <c r="J35" s="18">
        <f>SUM(F35:I35)</f>
        <v>0</v>
      </c>
      <c r="K35" s="18">
        <f>J35/(ShiftHrs*EffShare)/(1-AbsentPct)</f>
        <v>0</v>
      </c>
      <c r="L35" s="18">
        <f>Roster*WorkDays/7</f>
        <v>0</v>
      </c>
      <c r="M35" s="18">
        <f>L35*(1-AbsentPct)*ShiftHrs*EffShare</f>
        <v>0</v>
      </c>
      <c r="N35" s="18">
        <f>MAX(0,J35-M35)</f>
        <v>0</v>
      </c>
      <c r="O35" s="18">
        <f>MIN(N35/OTEff,L35*(1-AbsentPct)*OTCapHrs*OTTakeUp)</f>
        <v>0</v>
      </c>
      <c r="P35" s="18">
        <f>O35*OTEff</f>
        <v>0</v>
      </c>
      <c r="Q35" s="18">
        <f>MAX(0,N35-P35)</f>
        <v>0</v>
      </c>
      <c r="R35" s="4">
        <f>ROUNDUP(ROUND(Q35/(ShiftHrs*EffShare*FlexFactor),9),0)</f>
        <v>0</v>
      </c>
      <c r="S35" s="4">
        <f>R35*ShiftHrs</f>
        <v>0</v>
      </c>
      <c r="T35" s="5">
        <f>L35*(1-AbsentPct)*ShiftHrs*Wage</f>
        <v>0</v>
      </c>
      <c r="U35" s="5">
        <f>O35*Wage*OTMult</f>
        <v>0</v>
      </c>
      <c r="V35" s="5">
        <f>S35*FlexWage</f>
        <v>0</v>
      </c>
      <c r="W35" s="5">
        <f>SUM(T35:V35)</f>
        <v>0</v>
      </c>
      <c r="X35" s="6">
        <f>W35/E35</f>
        <v>0</v>
      </c>
      <c r="Y35" s="7">
        <f>MIN(J35,M35)/M35</f>
        <v>0</v>
      </c>
      <c r="Z35" s="10">
        <f>IF(R35&gt;0,"Flex hire",IF(O35&gt;0,"Overtime","Roster covers"))</f>
        <v>0</v>
      </c>
    </row>
    <row r="36" spans="1:26">
      <c r="A36" s="16">
        <v>46359</v>
      </c>
      <c r="B36" s="10">
        <f>TEXT(A36,"ddd")</f>
        <v>0</v>
      </c>
      <c r="C36" s="10">
        <f>INT((A36-$A$5)/7)+1</f>
        <v>0</v>
      </c>
      <c r="D36" s="17">
        <v>67220</v>
      </c>
      <c r="E36" s="4">
        <f>D36*DemandMult</f>
        <v>0</v>
      </c>
      <c r="F36" s="18">
        <f>E36*Share_Stow/UPH_Stow</f>
        <v>0</v>
      </c>
      <c r="G36" s="18">
        <f>E36*Share_Pick/UPH_Pick</f>
        <v>0</v>
      </c>
      <c r="H36" s="18">
        <f>E36*Share_Pack/UPH_Pack</f>
        <v>0</v>
      </c>
      <c r="I36" s="18">
        <f>E36*Share_Ship/UPH_Ship</f>
        <v>0</v>
      </c>
      <c r="J36" s="18">
        <f>SUM(F36:I36)</f>
        <v>0</v>
      </c>
      <c r="K36" s="18">
        <f>J36/(ShiftHrs*EffShare)/(1-AbsentPct)</f>
        <v>0</v>
      </c>
      <c r="L36" s="18">
        <f>Roster*WorkDays/7</f>
        <v>0</v>
      </c>
      <c r="M36" s="18">
        <f>L36*(1-AbsentPct)*ShiftHrs*EffShare</f>
        <v>0</v>
      </c>
      <c r="N36" s="18">
        <f>MAX(0,J36-M36)</f>
        <v>0</v>
      </c>
      <c r="O36" s="18">
        <f>MIN(N36/OTEff,L36*(1-AbsentPct)*OTCapHrs*OTTakeUp)</f>
        <v>0</v>
      </c>
      <c r="P36" s="18">
        <f>O36*OTEff</f>
        <v>0</v>
      </c>
      <c r="Q36" s="18">
        <f>MAX(0,N36-P36)</f>
        <v>0</v>
      </c>
      <c r="R36" s="4">
        <f>ROUNDUP(ROUND(Q36/(ShiftHrs*EffShare*FlexFactor),9),0)</f>
        <v>0</v>
      </c>
      <c r="S36" s="4">
        <f>R36*ShiftHrs</f>
        <v>0</v>
      </c>
      <c r="T36" s="5">
        <f>L36*(1-AbsentPct)*ShiftHrs*Wage</f>
        <v>0</v>
      </c>
      <c r="U36" s="5">
        <f>O36*Wage*OTMult</f>
        <v>0</v>
      </c>
      <c r="V36" s="5">
        <f>S36*FlexWage</f>
        <v>0</v>
      </c>
      <c r="W36" s="5">
        <f>SUM(T36:V36)</f>
        <v>0</v>
      </c>
      <c r="X36" s="6">
        <f>W36/E36</f>
        <v>0</v>
      </c>
      <c r="Y36" s="7">
        <f>MIN(J36,M36)/M36</f>
        <v>0</v>
      </c>
      <c r="Z36" s="10">
        <f>IF(R36&gt;0,"Flex hire",IF(O36&gt;0,"Overtime","Roster covers"))</f>
        <v>0</v>
      </c>
    </row>
    <row r="37" spans="1:26">
      <c r="A37" s="16">
        <v>46360</v>
      </c>
      <c r="B37" s="10">
        <f>TEXT(A37,"ddd")</f>
        <v>0</v>
      </c>
      <c r="C37" s="10">
        <f>INT((A37-$A$5)/7)+1</f>
        <v>0</v>
      </c>
      <c r="D37" s="17">
        <v>74600</v>
      </c>
      <c r="E37" s="4">
        <f>D37*DemandMult</f>
        <v>0</v>
      </c>
      <c r="F37" s="18">
        <f>E37*Share_Stow/UPH_Stow</f>
        <v>0</v>
      </c>
      <c r="G37" s="18">
        <f>E37*Share_Pick/UPH_Pick</f>
        <v>0</v>
      </c>
      <c r="H37" s="18">
        <f>E37*Share_Pack/UPH_Pack</f>
        <v>0</v>
      </c>
      <c r="I37" s="18">
        <f>E37*Share_Ship/UPH_Ship</f>
        <v>0</v>
      </c>
      <c r="J37" s="18">
        <f>SUM(F37:I37)</f>
        <v>0</v>
      </c>
      <c r="K37" s="18">
        <f>J37/(ShiftHrs*EffShare)/(1-AbsentPct)</f>
        <v>0</v>
      </c>
      <c r="L37" s="18">
        <f>Roster*WorkDays/7</f>
        <v>0</v>
      </c>
      <c r="M37" s="18">
        <f>L37*(1-AbsentPct)*ShiftHrs*EffShare</f>
        <v>0</v>
      </c>
      <c r="N37" s="18">
        <f>MAX(0,J37-M37)</f>
        <v>0</v>
      </c>
      <c r="O37" s="18">
        <f>MIN(N37/OTEff,L37*(1-AbsentPct)*OTCapHrs*OTTakeUp)</f>
        <v>0</v>
      </c>
      <c r="P37" s="18">
        <f>O37*OTEff</f>
        <v>0</v>
      </c>
      <c r="Q37" s="18">
        <f>MAX(0,N37-P37)</f>
        <v>0</v>
      </c>
      <c r="R37" s="4">
        <f>ROUNDUP(ROUND(Q37/(ShiftHrs*EffShare*FlexFactor),9),0)</f>
        <v>0</v>
      </c>
      <c r="S37" s="4">
        <f>R37*ShiftHrs</f>
        <v>0</v>
      </c>
      <c r="T37" s="5">
        <f>L37*(1-AbsentPct)*ShiftHrs*Wage</f>
        <v>0</v>
      </c>
      <c r="U37" s="5">
        <f>O37*Wage*OTMult</f>
        <v>0</v>
      </c>
      <c r="V37" s="5">
        <f>S37*FlexWage</f>
        <v>0</v>
      </c>
      <c r="W37" s="5">
        <f>SUM(T37:V37)</f>
        <v>0</v>
      </c>
      <c r="X37" s="6">
        <f>W37/E37</f>
        <v>0</v>
      </c>
      <c r="Y37" s="7">
        <f>MIN(J37,M37)/M37</f>
        <v>0</v>
      </c>
      <c r="Z37" s="10">
        <f>IF(R37&gt;0,"Flex hire",IF(O37&gt;0,"Overtime","Roster covers"))</f>
        <v>0</v>
      </c>
    </row>
    <row r="38" spans="1:26">
      <c r="A38" s="16">
        <v>46361</v>
      </c>
      <c r="B38" s="10">
        <f>TEXT(A38,"ddd")</f>
        <v>0</v>
      </c>
      <c r="C38" s="10">
        <f>INT((A38-$A$5)/7)+1</f>
        <v>0</v>
      </c>
      <c r="D38" s="17">
        <v>66130</v>
      </c>
      <c r="E38" s="4">
        <f>D38*DemandMult</f>
        <v>0</v>
      </c>
      <c r="F38" s="18">
        <f>E38*Share_Stow/UPH_Stow</f>
        <v>0</v>
      </c>
      <c r="G38" s="18">
        <f>E38*Share_Pick/UPH_Pick</f>
        <v>0</v>
      </c>
      <c r="H38" s="18">
        <f>E38*Share_Pack/UPH_Pack</f>
        <v>0</v>
      </c>
      <c r="I38" s="18">
        <f>E38*Share_Ship/UPH_Ship</f>
        <v>0</v>
      </c>
      <c r="J38" s="18">
        <f>SUM(F38:I38)</f>
        <v>0</v>
      </c>
      <c r="K38" s="18">
        <f>J38/(ShiftHrs*EffShare)/(1-AbsentPct)</f>
        <v>0</v>
      </c>
      <c r="L38" s="18">
        <f>Roster*WorkDays/7</f>
        <v>0</v>
      </c>
      <c r="M38" s="18">
        <f>L38*(1-AbsentPct)*ShiftHrs*EffShare</f>
        <v>0</v>
      </c>
      <c r="N38" s="18">
        <f>MAX(0,J38-M38)</f>
        <v>0</v>
      </c>
      <c r="O38" s="18">
        <f>MIN(N38/OTEff,L38*(1-AbsentPct)*OTCapHrs*OTTakeUp)</f>
        <v>0</v>
      </c>
      <c r="P38" s="18">
        <f>O38*OTEff</f>
        <v>0</v>
      </c>
      <c r="Q38" s="18">
        <f>MAX(0,N38-P38)</f>
        <v>0</v>
      </c>
      <c r="R38" s="4">
        <f>ROUNDUP(ROUND(Q38/(ShiftHrs*EffShare*FlexFactor),9),0)</f>
        <v>0</v>
      </c>
      <c r="S38" s="4">
        <f>R38*ShiftHrs</f>
        <v>0</v>
      </c>
      <c r="T38" s="5">
        <f>L38*(1-AbsentPct)*ShiftHrs*Wage</f>
        <v>0</v>
      </c>
      <c r="U38" s="5">
        <f>O38*Wage*OTMult</f>
        <v>0</v>
      </c>
      <c r="V38" s="5">
        <f>S38*FlexWage</f>
        <v>0</v>
      </c>
      <c r="W38" s="5">
        <f>SUM(T38:V38)</f>
        <v>0</v>
      </c>
      <c r="X38" s="6">
        <f>W38/E38</f>
        <v>0</v>
      </c>
      <c r="Y38" s="7">
        <f>MIN(J38,M38)/M38</f>
        <v>0</v>
      </c>
      <c r="Z38" s="10">
        <f>IF(R38&gt;0,"Flex hire",IF(O38&gt;0,"Overtime","Roster covers"))</f>
        <v>0</v>
      </c>
    </row>
    <row r="39" spans="1:26">
      <c r="A39" s="16">
        <v>46362</v>
      </c>
      <c r="B39" s="10">
        <f>TEXT(A39,"ddd")</f>
        <v>0</v>
      </c>
      <c r="C39" s="10">
        <f>INT((A39-$A$5)/7)+1</f>
        <v>0</v>
      </c>
      <c r="D39" s="17">
        <v>47290</v>
      </c>
      <c r="E39" s="4">
        <f>D39*DemandMult</f>
        <v>0</v>
      </c>
      <c r="F39" s="18">
        <f>E39*Share_Stow/UPH_Stow</f>
        <v>0</v>
      </c>
      <c r="G39" s="18">
        <f>E39*Share_Pick/UPH_Pick</f>
        <v>0</v>
      </c>
      <c r="H39" s="18">
        <f>E39*Share_Pack/UPH_Pack</f>
        <v>0</v>
      </c>
      <c r="I39" s="18">
        <f>E39*Share_Ship/UPH_Ship</f>
        <v>0</v>
      </c>
      <c r="J39" s="18">
        <f>SUM(F39:I39)</f>
        <v>0</v>
      </c>
      <c r="K39" s="18">
        <f>J39/(ShiftHrs*EffShare)/(1-AbsentPct)</f>
        <v>0</v>
      </c>
      <c r="L39" s="18">
        <f>Roster*WorkDays/7</f>
        <v>0</v>
      </c>
      <c r="M39" s="18">
        <f>L39*(1-AbsentPct)*ShiftHrs*EffShare</f>
        <v>0</v>
      </c>
      <c r="N39" s="18">
        <f>MAX(0,J39-M39)</f>
        <v>0</v>
      </c>
      <c r="O39" s="18">
        <f>MIN(N39/OTEff,L39*(1-AbsentPct)*OTCapHrs*OTTakeUp)</f>
        <v>0</v>
      </c>
      <c r="P39" s="18">
        <f>O39*OTEff</f>
        <v>0</v>
      </c>
      <c r="Q39" s="18">
        <f>MAX(0,N39-P39)</f>
        <v>0</v>
      </c>
      <c r="R39" s="4">
        <f>ROUNDUP(ROUND(Q39/(ShiftHrs*EffShare*FlexFactor),9),0)</f>
        <v>0</v>
      </c>
      <c r="S39" s="4">
        <f>R39*ShiftHrs</f>
        <v>0</v>
      </c>
      <c r="T39" s="5">
        <f>L39*(1-AbsentPct)*ShiftHrs*Wage</f>
        <v>0</v>
      </c>
      <c r="U39" s="5">
        <f>O39*Wage*OTMult</f>
        <v>0</v>
      </c>
      <c r="V39" s="5">
        <f>S39*FlexWage</f>
        <v>0</v>
      </c>
      <c r="W39" s="5">
        <f>SUM(T39:V39)</f>
        <v>0</v>
      </c>
      <c r="X39" s="6">
        <f>W39/E39</f>
        <v>0</v>
      </c>
      <c r="Y39" s="7">
        <f>MIN(J39,M39)/M39</f>
        <v>0</v>
      </c>
      <c r="Z39" s="10">
        <f>IF(R39&gt;0,"Flex hire",IF(O39&gt;0,"Overtime","Roster covers"))</f>
        <v>0</v>
      </c>
    </row>
    <row r="40" spans="1:26">
      <c r="A40" s="16">
        <v>46363</v>
      </c>
      <c r="B40" s="10">
        <f>TEXT(A40,"ddd")</f>
        <v>0</v>
      </c>
      <c r="C40" s="10">
        <f>INT((A40-$A$5)/7)+1</f>
        <v>0</v>
      </c>
      <c r="D40" s="17">
        <v>62780</v>
      </c>
      <c r="E40" s="4">
        <f>D40*DemandMult</f>
        <v>0</v>
      </c>
      <c r="F40" s="18">
        <f>E40*Share_Stow/UPH_Stow</f>
        <v>0</v>
      </c>
      <c r="G40" s="18">
        <f>E40*Share_Pick/UPH_Pick</f>
        <v>0</v>
      </c>
      <c r="H40" s="18">
        <f>E40*Share_Pack/UPH_Pack</f>
        <v>0</v>
      </c>
      <c r="I40" s="18">
        <f>E40*Share_Ship/UPH_Ship</f>
        <v>0</v>
      </c>
      <c r="J40" s="18">
        <f>SUM(F40:I40)</f>
        <v>0</v>
      </c>
      <c r="K40" s="18">
        <f>J40/(ShiftHrs*EffShare)/(1-AbsentPct)</f>
        <v>0</v>
      </c>
      <c r="L40" s="18">
        <f>Roster*WorkDays/7</f>
        <v>0</v>
      </c>
      <c r="M40" s="18">
        <f>L40*(1-AbsentPct)*ShiftHrs*EffShare</f>
        <v>0</v>
      </c>
      <c r="N40" s="18">
        <f>MAX(0,J40-M40)</f>
        <v>0</v>
      </c>
      <c r="O40" s="18">
        <f>MIN(N40/OTEff,L40*(1-AbsentPct)*OTCapHrs*OTTakeUp)</f>
        <v>0</v>
      </c>
      <c r="P40" s="18">
        <f>O40*OTEff</f>
        <v>0</v>
      </c>
      <c r="Q40" s="18">
        <f>MAX(0,N40-P40)</f>
        <v>0</v>
      </c>
      <c r="R40" s="4">
        <f>ROUNDUP(ROUND(Q40/(ShiftHrs*EffShare*FlexFactor),9),0)</f>
        <v>0</v>
      </c>
      <c r="S40" s="4">
        <f>R40*ShiftHrs</f>
        <v>0</v>
      </c>
      <c r="T40" s="5">
        <f>L40*(1-AbsentPct)*ShiftHrs*Wage</f>
        <v>0</v>
      </c>
      <c r="U40" s="5">
        <f>O40*Wage*OTMult</f>
        <v>0</v>
      </c>
      <c r="V40" s="5">
        <f>S40*FlexWage</f>
        <v>0</v>
      </c>
      <c r="W40" s="5">
        <f>SUM(T40:V40)</f>
        <v>0</v>
      </c>
      <c r="X40" s="6">
        <f>W40/E40</f>
        <v>0</v>
      </c>
      <c r="Y40" s="7">
        <f>MIN(J40,M40)/M40</f>
        <v>0</v>
      </c>
      <c r="Z40" s="10">
        <f>IF(R40&gt;0,"Flex hire",IF(O40&gt;0,"Overtime","Roster covers"))</f>
        <v>0</v>
      </c>
    </row>
    <row r="41" spans="1:26">
      <c r="A41" s="16">
        <v>46364</v>
      </c>
      <c r="B41" s="10">
        <f>TEXT(A41,"ddd")</f>
        <v>0</v>
      </c>
      <c r="C41" s="10">
        <f>INT((A41-$A$5)/7)+1</f>
        <v>0</v>
      </c>
      <c r="D41" s="17">
        <v>57690</v>
      </c>
      <c r="E41" s="4">
        <f>D41*DemandMult</f>
        <v>0</v>
      </c>
      <c r="F41" s="18">
        <f>E41*Share_Stow/UPH_Stow</f>
        <v>0</v>
      </c>
      <c r="G41" s="18">
        <f>E41*Share_Pick/UPH_Pick</f>
        <v>0</v>
      </c>
      <c r="H41" s="18">
        <f>E41*Share_Pack/UPH_Pack</f>
        <v>0</v>
      </c>
      <c r="I41" s="18">
        <f>E41*Share_Ship/UPH_Ship</f>
        <v>0</v>
      </c>
      <c r="J41" s="18">
        <f>SUM(F41:I41)</f>
        <v>0</v>
      </c>
      <c r="K41" s="18">
        <f>J41/(ShiftHrs*EffShare)/(1-AbsentPct)</f>
        <v>0</v>
      </c>
      <c r="L41" s="18">
        <f>Roster*WorkDays/7</f>
        <v>0</v>
      </c>
      <c r="M41" s="18">
        <f>L41*(1-AbsentPct)*ShiftHrs*EffShare</f>
        <v>0</v>
      </c>
      <c r="N41" s="18">
        <f>MAX(0,J41-M41)</f>
        <v>0</v>
      </c>
      <c r="O41" s="18">
        <f>MIN(N41/OTEff,L41*(1-AbsentPct)*OTCapHrs*OTTakeUp)</f>
        <v>0</v>
      </c>
      <c r="P41" s="18">
        <f>O41*OTEff</f>
        <v>0</v>
      </c>
      <c r="Q41" s="18">
        <f>MAX(0,N41-P41)</f>
        <v>0</v>
      </c>
      <c r="R41" s="4">
        <f>ROUNDUP(ROUND(Q41/(ShiftHrs*EffShare*FlexFactor),9),0)</f>
        <v>0</v>
      </c>
      <c r="S41" s="4">
        <f>R41*ShiftHrs</f>
        <v>0</v>
      </c>
      <c r="T41" s="5">
        <f>L41*(1-AbsentPct)*ShiftHrs*Wage</f>
        <v>0</v>
      </c>
      <c r="U41" s="5">
        <f>O41*Wage*OTMult</f>
        <v>0</v>
      </c>
      <c r="V41" s="5">
        <f>S41*FlexWage</f>
        <v>0</v>
      </c>
      <c r="W41" s="5">
        <f>SUM(T41:V41)</f>
        <v>0</v>
      </c>
      <c r="X41" s="6">
        <f>W41/E41</f>
        <v>0</v>
      </c>
      <c r="Y41" s="7">
        <f>MIN(J41,M41)/M41</f>
        <v>0</v>
      </c>
      <c r="Z41" s="10">
        <f>IF(R41&gt;0,"Flex hire",IF(O41&gt;0,"Overtime","Roster covers"))</f>
        <v>0</v>
      </c>
    </row>
    <row r="42" spans="1:26">
      <c r="A42" s="16">
        <v>46365</v>
      </c>
      <c r="B42" s="10">
        <f>TEXT(A42,"ddd")</f>
        <v>0</v>
      </c>
      <c r="C42" s="10">
        <f>INT((A42-$A$5)/7)+1</f>
        <v>0</v>
      </c>
      <c r="D42" s="17">
        <v>56980</v>
      </c>
      <c r="E42" s="4">
        <f>D42*DemandMult</f>
        <v>0</v>
      </c>
      <c r="F42" s="18">
        <f>E42*Share_Stow/UPH_Stow</f>
        <v>0</v>
      </c>
      <c r="G42" s="18">
        <f>E42*Share_Pick/UPH_Pick</f>
        <v>0</v>
      </c>
      <c r="H42" s="18">
        <f>E42*Share_Pack/UPH_Pack</f>
        <v>0</v>
      </c>
      <c r="I42" s="18">
        <f>E42*Share_Ship/UPH_Ship</f>
        <v>0</v>
      </c>
      <c r="J42" s="18">
        <f>SUM(F42:I42)</f>
        <v>0</v>
      </c>
      <c r="K42" s="18">
        <f>J42/(ShiftHrs*EffShare)/(1-AbsentPct)</f>
        <v>0</v>
      </c>
      <c r="L42" s="18">
        <f>Roster*WorkDays/7</f>
        <v>0</v>
      </c>
      <c r="M42" s="18">
        <f>L42*(1-AbsentPct)*ShiftHrs*EffShare</f>
        <v>0</v>
      </c>
      <c r="N42" s="18">
        <f>MAX(0,J42-M42)</f>
        <v>0</v>
      </c>
      <c r="O42" s="18">
        <f>MIN(N42/OTEff,L42*(1-AbsentPct)*OTCapHrs*OTTakeUp)</f>
        <v>0</v>
      </c>
      <c r="P42" s="18">
        <f>O42*OTEff</f>
        <v>0</v>
      </c>
      <c r="Q42" s="18">
        <f>MAX(0,N42-P42)</f>
        <v>0</v>
      </c>
      <c r="R42" s="4">
        <f>ROUNDUP(ROUND(Q42/(ShiftHrs*EffShare*FlexFactor),9),0)</f>
        <v>0</v>
      </c>
      <c r="S42" s="4">
        <f>R42*ShiftHrs</f>
        <v>0</v>
      </c>
      <c r="T42" s="5">
        <f>L42*(1-AbsentPct)*ShiftHrs*Wage</f>
        <v>0</v>
      </c>
      <c r="U42" s="5">
        <f>O42*Wage*OTMult</f>
        <v>0</v>
      </c>
      <c r="V42" s="5">
        <f>S42*FlexWage</f>
        <v>0</v>
      </c>
      <c r="W42" s="5">
        <f>SUM(T42:V42)</f>
        <v>0</v>
      </c>
      <c r="X42" s="6">
        <f>W42/E42</f>
        <v>0</v>
      </c>
      <c r="Y42" s="7">
        <f>MIN(J42,M42)/M42</f>
        <v>0</v>
      </c>
      <c r="Z42" s="10">
        <f>IF(R42&gt;0,"Flex hire",IF(O42&gt;0,"Overtime","Roster covers"))</f>
        <v>0</v>
      </c>
    </row>
    <row r="43" spans="1:26">
      <c r="A43" s="16">
        <v>46366</v>
      </c>
      <c r="B43" s="10">
        <f>TEXT(A43,"ddd")</f>
        <v>0</v>
      </c>
      <c r="C43" s="10">
        <f>INT((A43-$A$5)/7)+1</f>
        <v>0</v>
      </c>
      <c r="D43" s="17">
        <v>57090</v>
      </c>
      <c r="E43" s="4">
        <f>D43*DemandMult</f>
        <v>0</v>
      </c>
      <c r="F43" s="18">
        <f>E43*Share_Stow/UPH_Stow</f>
        <v>0</v>
      </c>
      <c r="G43" s="18">
        <f>E43*Share_Pick/UPH_Pick</f>
        <v>0</v>
      </c>
      <c r="H43" s="18">
        <f>E43*Share_Pack/UPH_Pack</f>
        <v>0</v>
      </c>
      <c r="I43" s="18">
        <f>E43*Share_Ship/UPH_Ship</f>
        <v>0</v>
      </c>
      <c r="J43" s="18">
        <f>SUM(F43:I43)</f>
        <v>0</v>
      </c>
      <c r="K43" s="18">
        <f>J43/(ShiftHrs*EffShare)/(1-AbsentPct)</f>
        <v>0</v>
      </c>
      <c r="L43" s="18">
        <f>Roster*WorkDays/7</f>
        <v>0</v>
      </c>
      <c r="M43" s="18">
        <f>L43*(1-AbsentPct)*ShiftHrs*EffShare</f>
        <v>0</v>
      </c>
      <c r="N43" s="18">
        <f>MAX(0,J43-M43)</f>
        <v>0</v>
      </c>
      <c r="O43" s="18">
        <f>MIN(N43/OTEff,L43*(1-AbsentPct)*OTCapHrs*OTTakeUp)</f>
        <v>0</v>
      </c>
      <c r="P43" s="18">
        <f>O43*OTEff</f>
        <v>0</v>
      </c>
      <c r="Q43" s="18">
        <f>MAX(0,N43-P43)</f>
        <v>0</v>
      </c>
      <c r="R43" s="4">
        <f>ROUNDUP(ROUND(Q43/(ShiftHrs*EffShare*FlexFactor),9),0)</f>
        <v>0</v>
      </c>
      <c r="S43" s="4">
        <f>R43*ShiftHrs</f>
        <v>0</v>
      </c>
      <c r="T43" s="5">
        <f>L43*(1-AbsentPct)*ShiftHrs*Wage</f>
        <v>0</v>
      </c>
      <c r="U43" s="5">
        <f>O43*Wage*OTMult</f>
        <v>0</v>
      </c>
      <c r="V43" s="5">
        <f>S43*FlexWage</f>
        <v>0</v>
      </c>
      <c r="W43" s="5">
        <f>SUM(T43:V43)</f>
        <v>0</v>
      </c>
      <c r="X43" s="6">
        <f>W43/E43</f>
        <v>0</v>
      </c>
      <c r="Y43" s="7">
        <f>MIN(J43,M43)/M43</f>
        <v>0</v>
      </c>
      <c r="Z43" s="10">
        <f>IF(R43&gt;0,"Flex hire",IF(O43&gt;0,"Overtime","Roster covers"))</f>
        <v>0</v>
      </c>
    </row>
    <row r="44" spans="1:26">
      <c r="A44" s="16">
        <v>46367</v>
      </c>
      <c r="B44" s="10">
        <f>TEXT(A44,"ddd")</f>
        <v>0</v>
      </c>
      <c r="C44" s="10">
        <f>INT((A44-$A$5)/7)+1</f>
        <v>0</v>
      </c>
      <c r="D44" s="17">
        <v>64550</v>
      </c>
      <c r="E44" s="4">
        <f>D44*DemandMult</f>
        <v>0</v>
      </c>
      <c r="F44" s="18">
        <f>E44*Share_Stow/UPH_Stow</f>
        <v>0</v>
      </c>
      <c r="G44" s="18">
        <f>E44*Share_Pick/UPH_Pick</f>
        <v>0</v>
      </c>
      <c r="H44" s="18">
        <f>E44*Share_Pack/UPH_Pack</f>
        <v>0</v>
      </c>
      <c r="I44" s="18">
        <f>E44*Share_Ship/UPH_Ship</f>
        <v>0</v>
      </c>
      <c r="J44" s="18">
        <f>SUM(F44:I44)</f>
        <v>0</v>
      </c>
      <c r="K44" s="18">
        <f>J44/(ShiftHrs*EffShare)/(1-AbsentPct)</f>
        <v>0</v>
      </c>
      <c r="L44" s="18">
        <f>Roster*WorkDays/7</f>
        <v>0</v>
      </c>
      <c r="M44" s="18">
        <f>L44*(1-AbsentPct)*ShiftHrs*EffShare</f>
        <v>0</v>
      </c>
      <c r="N44" s="18">
        <f>MAX(0,J44-M44)</f>
        <v>0</v>
      </c>
      <c r="O44" s="18">
        <f>MIN(N44/OTEff,L44*(1-AbsentPct)*OTCapHrs*OTTakeUp)</f>
        <v>0</v>
      </c>
      <c r="P44" s="18">
        <f>O44*OTEff</f>
        <v>0</v>
      </c>
      <c r="Q44" s="18">
        <f>MAX(0,N44-P44)</f>
        <v>0</v>
      </c>
      <c r="R44" s="4">
        <f>ROUNDUP(ROUND(Q44/(ShiftHrs*EffShare*FlexFactor),9),0)</f>
        <v>0</v>
      </c>
      <c r="S44" s="4">
        <f>R44*ShiftHrs</f>
        <v>0</v>
      </c>
      <c r="T44" s="5">
        <f>L44*(1-AbsentPct)*ShiftHrs*Wage</f>
        <v>0</v>
      </c>
      <c r="U44" s="5">
        <f>O44*Wage*OTMult</f>
        <v>0</v>
      </c>
      <c r="V44" s="5">
        <f>S44*FlexWage</f>
        <v>0</v>
      </c>
      <c r="W44" s="5">
        <f>SUM(T44:V44)</f>
        <v>0</v>
      </c>
      <c r="X44" s="6">
        <f>W44/E44</f>
        <v>0</v>
      </c>
      <c r="Y44" s="7">
        <f>MIN(J44,M44)/M44</f>
        <v>0</v>
      </c>
      <c r="Z44" s="10">
        <f>IF(R44&gt;0,"Flex hire",IF(O44&gt;0,"Overtime","Roster covers"))</f>
        <v>0</v>
      </c>
    </row>
    <row r="45" spans="1:26">
      <c r="A45" s="16">
        <v>46368</v>
      </c>
      <c r="B45" s="10">
        <f>TEXT(A45,"ddd")</f>
        <v>0</v>
      </c>
      <c r="C45" s="10">
        <f>INT((A45-$A$5)/7)+1</f>
        <v>0</v>
      </c>
      <c r="D45" s="17">
        <v>55960</v>
      </c>
      <c r="E45" s="4">
        <f>D45*DemandMult</f>
        <v>0</v>
      </c>
      <c r="F45" s="18">
        <f>E45*Share_Stow/UPH_Stow</f>
        <v>0</v>
      </c>
      <c r="G45" s="18">
        <f>E45*Share_Pick/UPH_Pick</f>
        <v>0</v>
      </c>
      <c r="H45" s="18">
        <f>E45*Share_Pack/UPH_Pack</f>
        <v>0</v>
      </c>
      <c r="I45" s="18">
        <f>E45*Share_Ship/UPH_Ship</f>
        <v>0</v>
      </c>
      <c r="J45" s="18">
        <f>SUM(F45:I45)</f>
        <v>0</v>
      </c>
      <c r="K45" s="18">
        <f>J45/(ShiftHrs*EffShare)/(1-AbsentPct)</f>
        <v>0</v>
      </c>
      <c r="L45" s="18">
        <f>Roster*WorkDays/7</f>
        <v>0</v>
      </c>
      <c r="M45" s="18">
        <f>L45*(1-AbsentPct)*ShiftHrs*EffShare</f>
        <v>0</v>
      </c>
      <c r="N45" s="18">
        <f>MAX(0,J45-M45)</f>
        <v>0</v>
      </c>
      <c r="O45" s="18">
        <f>MIN(N45/OTEff,L45*(1-AbsentPct)*OTCapHrs*OTTakeUp)</f>
        <v>0</v>
      </c>
      <c r="P45" s="18">
        <f>O45*OTEff</f>
        <v>0</v>
      </c>
      <c r="Q45" s="18">
        <f>MAX(0,N45-P45)</f>
        <v>0</v>
      </c>
      <c r="R45" s="4">
        <f>ROUNDUP(ROUND(Q45/(ShiftHrs*EffShare*FlexFactor),9),0)</f>
        <v>0</v>
      </c>
      <c r="S45" s="4">
        <f>R45*ShiftHrs</f>
        <v>0</v>
      </c>
      <c r="T45" s="5">
        <f>L45*(1-AbsentPct)*ShiftHrs*Wage</f>
        <v>0</v>
      </c>
      <c r="U45" s="5">
        <f>O45*Wage*OTMult</f>
        <v>0</v>
      </c>
      <c r="V45" s="5">
        <f>S45*FlexWage</f>
        <v>0</v>
      </c>
      <c r="W45" s="5">
        <f>SUM(T45:V45)</f>
        <v>0</v>
      </c>
      <c r="X45" s="6">
        <f>W45/E45</f>
        <v>0</v>
      </c>
      <c r="Y45" s="7">
        <f>MIN(J45,M45)/M45</f>
        <v>0</v>
      </c>
      <c r="Z45" s="10">
        <f>IF(R45&gt;0,"Flex hire",IF(O45&gt;0,"Overtime","Roster covers"))</f>
        <v>0</v>
      </c>
    </row>
    <row r="46" spans="1:26">
      <c r="A46" s="16">
        <v>46369</v>
      </c>
      <c r="B46" s="10">
        <f>TEXT(A46,"ddd")</f>
        <v>0</v>
      </c>
      <c r="C46" s="10">
        <f>INT((A46-$A$5)/7)+1</f>
        <v>0</v>
      </c>
      <c r="D46" s="17">
        <v>41300</v>
      </c>
      <c r="E46" s="4">
        <f>D46*DemandMult</f>
        <v>0</v>
      </c>
      <c r="F46" s="18">
        <f>E46*Share_Stow/UPH_Stow</f>
        <v>0</v>
      </c>
      <c r="G46" s="18">
        <f>E46*Share_Pick/UPH_Pick</f>
        <v>0</v>
      </c>
      <c r="H46" s="18">
        <f>E46*Share_Pack/UPH_Pack</f>
        <v>0</v>
      </c>
      <c r="I46" s="18">
        <f>E46*Share_Ship/UPH_Ship</f>
        <v>0</v>
      </c>
      <c r="J46" s="18">
        <f>SUM(F46:I46)</f>
        <v>0</v>
      </c>
      <c r="K46" s="18">
        <f>J46/(ShiftHrs*EffShare)/(1-AbsentPct)</f>
        <v>0</v>
      </c>
      <c r="L46" s="18">
        <f>Roster*WorkDays/7</f>
        <v>0</v>
      </c>
      <c r="M46" s="18">
        <f>L46*(1-AbsentPct)*ShiftHrs*EffShare</f>
        <v>0</v>
      </c>
      <c r="N46" s="18">
        <f>MAX(0,J46-M46)</f>
        <v>0</v>
      </c>
      <c r="O46" s="18">
        <f>MIN(N46/OTEff,L46*(1-AbsentPct)*OTCapHrs*OTTakeUp)</f>
        <v>0</v>
      </c>
      <c r="P46" s="18">
        <f>O46*OTEff</f>
        <v>0</v>
      </c>
      <c r="Q46" s="18">
        <f>MAX(0,N46-P46)</f>
        <v>0</v>
      </c>
      <c r="R46" s="4">
        <f>ROUNDUP(ROUND(Q46/(ShiftHrs*EffShare*FlexFactor),9),0)</f>
        <v>0</v>
      </c>
      <c r="S46" s="4">
        <f>R46*ShiftHrs</f>
        <v>0</v>
      </c>
      <c r="T46" s="5">
        <f>L46*(1-AbsentPct)*ShiftHrs*Wage</f>
        <v>0</v>
      </c>
      <c r="U46" s="5">
        <f>O46*Wage*OTMult</f>
        <v>0</v>
      </c>
      <c r="V46" s="5">
        <f>S46*FlexWage</f>
        <v>0</v>
      </c>
      <c r="W46" s="5">
        <f>SUM(T46:V46)</f>
        <v>0</v>
      </c>
      <c r="X46" s="6">
        <f>W46/E46</f>
        <v>0</v>
      </c>
      <c r="Y46" s="7">
        <f>MIN(J46,M46)/M46</f>
        <v>0</v>
      </c>
      <c r="Z46" s="10">
        <f>IF(R46&gt;0,"Flex hire",IF(O46&gt;0,"Overtime","Roster covers"))</f>
        <v>0</v>
      </c>
    </row>
    <row r="47" spans="1:26">
      <c r="A47" s="16">
        <v>46370</v>
      </c>
      <c r="B47" s="10">
        <f>TEXT(A47,"ddd")</f>
        <v>0</v>
      </c>
      <c r="C47" s="10">
        <f>INT((A47-$A$5)/7)+1</f>
        <v>0</v>
      </c>
      <c r="D47" s="17">
        <v>53900</v>
      </c>
      <c r="E47" s="4">
        <f>D47*DemandMult</f>
        <v>0</v>
      </c>
      <c r="F47" s="18">
        <f>E47*Share_Stow/UPH_Stow</f>
        <v>0</v>
      </c>
      <c r="G47" s="18">
        <f>E47*Share_Pick/UPH_Pick</f>
        <v>0</v>
      </c>
      <c r="H47" s="18">
        <f>E47*Share_Pack/UPH_Pack</f>
        <v>0</v>
      </c>
      <c r="I47" s="18">
        <f>E47*Share_Ship/UPH_Ship</f>
        <v>0</v>
      </c>
      <c r="J47" s="18">
        <f>SUM(F47:I47)</f>
        <v>0</v>
      </c>
      <c r="K47" s="18">
        <f>J47/(ShiftHrs*EffShare)/(1-AbsentPct)</f>
        <v>0</v>
      </c>
      <c r="L47" s="18">
        <f>Roster*WorkDays/7</f>
        <v>0</v>
      </c>
      <c r="M47" s="18">
        <f>L47*(1-AbsentPct)*ShiftHrs*EffShare</f>
        <v>0</v>
      </c>
      <c r="N47" s="18">
        <f>MAX(0,J47-M47)</f>
        <v>0</v>
      </c>
      <c r="O47" s="18">
        <f>MIN(N47/OTEff,L47*(1-AbsentPct)*OTCapHrs*OTTakeUp)</f>
        <v>0</v>
      </c>
      <c r="P47" s="18">
        <f>O47*OTEff</f>
        <v>0</v>
      </c>
      <c r="Q47" s="18">
        <f>MAX(0,N47-P47)</f>
        <v>0</v>
      </c>
      <c r="R47" s="4">
        <f>ROUNDUP(ROUND(Q47/(ShiftHrs*EffShare*FlexFactor),9),0)</f>
        <v>0</v>
      </c>
      <c r="S47" s="4">
        <f>R47*ShiftHrs</f>
        <v>0</v>
      </c>
      <c r="T47" s="5">
        <f>L47*(1-AbsentPct)*ShiftHrs*Wage</f>
        <v>0</v>
      </c>
      <c r="U47" s="5">
        <f>O47*Wage*OTMult</f>
        <v>0</v>
      </c>
      <c r="V47" s="5">
        <f>S47*FlexWage</f>
        <v>0</v>
      </c>
      <c r="W47" s="5">
        <f>SUM(T47:V47)</f>
        <v>0</v>
      </c>
      <c r="X47" s="6">
        <f>W47/E47</f>
        <v>0</v>
      </c>
      <c r="Y47" s="7">
        <f>MIN(J47,M47)/M47</f>
        <v>0</v>
      </c>
      <c r="Z47" s="10">
        <f>IF(R47&gt;0,"Flex hire",IF(O47&gt;0,"Overtime","Roster covers"))</f>
        <v>0</v>
      </c>
    </row>
    <row r="48" spans="1:26">
      <c r="A48" s="16">
        <v>46371</v>
      </c>
      <c r="B48" s="10">
        <f>TEXT(A48,"ddd")</f>
        <v>0</v>
      </c>
      <c r="C48" s="10">
        <f>INT((A48-$A$5)/7)+1</f>
        <v>0</v>
      </c>
      <c r="D48" s="17">
        <v>53020</v>
      </c>
      <c r="E48" s="4">
        <f>D48*DemandMult</f>
        <v>0</v>
      </c>
      <c r="F48" s="18">
        <f>E48*Share_Stow/UPH_Stow</f>
        <v>0</v>
      </c>
      <c r="G48" s="18">
        <f>E48*Share_Pick/UPH_Pick</f>
        <v>0</v>
      </c>
      <c r="H48" s="18">
        <f>E48*Share_Pack/UPH_Pack</f>
        <v>0</v>
      </c>
      <c r="I48" s="18">
        <f>E48*Share_Ship/UPH_Ship</f>
        <v>0</v>
      </c>
      <c r="J48" s="18">
        <f>SUM(F48:I48)</f>
        <v>0</v>
      </c>
      <c r="K48" s="18">
        <f>J48/(ShiftHrs*EffShare)/(1-AbsentPct)</f>
        <v>0</v>
      </c>
      <c r="L48" s="18">
        <f>Roster*WorkDays/7</f>
        <v>0</v>
      </c>
      <c r="M48" s="18">
        <f>L48*(1-AbsentPct)*ShiftHrs*EffShare</f>
        <v>0</v>
      </c>
      <c r="N48" s="18">
        <f>MAX(0,J48-M48)</f>
        <v>0</v>
      </c>
      <c r="O48" s="18">
        <f>MIN(N48/OTEff,L48*(1-AbsentPct)*OTCapHrs*OTTakeUp)</f>
        <v>0</v>
      </c>
      <c r="P48" s="18">
        <f>O48*OTEff</f>
        <v>0</v>
      </c>
      <c r="Q48" s="18">
        <f>MAX(0,N48-P48)</f>
        <v>0</v>
      </c>
      <c r="R48" s="4">
        <f>ROUNDUP(ROUND(Q48/(ShiftHrs*EffShare*FlexFactor),9),0)</f>
        <v>0</v>
      </c>
      <c r="S48" s="4">
        <f>R48*ShiftHrs</f>
        <v>0</v>
      </c>
      <c r="T48" s="5">
        <f>L48*(1-AbsentPct)*ShiftHrs*Wage</f>
        <v>0</v>
      </c>
      <c r="U48" s="5">
        <f>O48*Wage*OTMult</f>
        <v>0</v>
      </c>
      <c r="V48" s="5">
        <f>S48*FlexWage</f>
        <v>0</v>
      </c>
      <c r="W48" s="5">
        <f>SUM(T48:V48)</f>
        <v>0</v>
      </c>
      <c r="X48" s="6">
        <f>W48/E48</f>
        <v>0</v>
      </c>
      <c r="Y48" s="7">
        <f>MIN(J48,M48)/M48</f>
        <v>0</v>
      </c>
      <c r="Z48" s="10">
        <f>IF(R48&gt;0,"Flex hire",IF(O48&gt;0,"Overtime","Roster covers"))</f>
        <v>0</v>
      </c>
    </row>
    <row r="49" spans="1:26">
      <c r="A49" s="16">
        <v>46372</v>
      </c>
      <c r="B49" s="10">
        <f>TEXT(A49,"ddd")</f>
        <v>0</v>
      </c>
      <c r="C49" s="10">
        <f>INT((A49-$A$5)/7)+1</f>
        <v>0</v>
      </c>
      <c r="D49" s="17">
        <v>53210</v>
      </c>
      <c r="E49" s="4">
        <f>D49*DemandMult</f>
        <v>0</v>
      </c>
      <c r="F49" s="18">
        <f>E49*Share_Stow/UPH_Stow</f>
        <v>0</v>
      </c>
      <c r="G49" s="18">
        <f>E49*Share_Pick/UPH_Pick</f>
        <v>0</v>
      </c>
      <c r="H49" s="18">
        <f>E49*Share_Pack/UPH_Pack</f>
        <v>0</v>
      </c>
      <c r="I49" s="18">
        <f>E49*Share_Ship/UPH_Ship</f>
        <v>0</v>
      </c>
      <c r="J49" s="18">
        <f>SUM(F49:I49)</f>
        <v>0</v>
      </c>
      <c r="K49" s="18">
        <f>J49/(ShiftHrs*EffShare)/(1-AbsentPct)</f>
        <v>0</v>
      </c>
      <c r="L49" s="18">
        <f>Roster*WorkDays/7</f>
        <v>0</v>
      </c>
      <c r="M49" s="18">
        <f>L49*(1-AbsentPct)*ShiftHrs*EffShare</f>
        <v>0</v>
      </c>
      <c r="N49" s="18">
        <f>MAX(0,J49-M49)</f>
        <v>0</v>
      </c>
      <c r="O49" s="18">
        <f>MIN(N49/OTEff,L49*(1-AbsentPct)*OTCapHrs*OTTakeUp)</f>
        <v>0</v>
      </c>
      <c r="P49" s="18">
        <f>O49*OTEff</f>
        <v>0</v>
      </c>
      <c r="Q49" s="18">
        <f>MAX(0,N49-P49)</f>
        <v>0</v>
      </c>
      <c r="R49" s="4">
        <f>ROUNDUP(ROUND(Q49/(ShiftHrs*EffShare*FlexFactor),9),0)</f>
        <v>0</v>
      </c>
      <c r="S49" s="4">
        <f>R49*ShiftHrs</f>
        <v>0</v>
      </c>
      <c r="T49" s="5">
        <f>L49*(1-AbsentPct)*ShiftHrs*Wage</f>
        <v>0</v>
      </c>
      <c r="U49" s="5">
        <f>O49*Wage*OTMult</f>
        <v>0</v>
      </c>
      <c r="V49" s="5">
        <f>S49*FlexWage</f>
        <v>0</v>
      </c>
      <c r="W49" s="5">
        <f>SUM(T49:V49)</f>
        <v>0</v>
      </c>
      <c r="X49" s="6">
        <f>W49/E49</f>
        <v>0</v>
      </c>
      <c r="Y49" s="7">
        <f>MIN(J49,M49)/M49</f>
        <v>0</v>
      </c>
      <c r="Z49" s="10">
        <f>IF(R49&gt;0,"Flex hire",IF(O49&gt;0,"Overtime","Roster covers"))</f>
        <v>0</v>
      </c>
    </row>
    <row r="50" spans="1:26">
      <c r="A50" s="16">
        <v>46373</v>
      </c>
      <c r="B50" s="10">
        <f>TEXT(A50,"ddd")</f>
        <v>0</v>
      </c>
      <c r="C50" s="10">
        <f>INT((A50-$A$5)/7)+1</f>
        <v>0</v>
      </c>
      <c r="D50" s="17">
        <v>50750</v>
      </c>
      <c r="E50" s="4">
        <f>D50*DemandMult</f>
        <v>0</v>
      </c>
      <c r="F50" s="18">
        <f>E50*Share_Stow/UPH_Stow</f>
        <v>0</v>
      </c>
      <c r="G50" s="18">
        <f>E50*Share_Pick/UPH_Pick</f>
        <v>0</v>
      </c>
      <c r="H50" s="18">
        <f>E50*Share_Pack/UPH_Pack</f>
        <v>0</v>
      </c>
      <c r="I50" s="18">
        <f>E50*Share_Ship/UPH_Ship</f>
        <v>0</v>
      </c>
      <c r="J50" s="18">
        <f>SUM(F50:I50)</f>
        <v>0</v>
      </c>
      <c r="K50" s="18">
        <f>J50/(ShiftHrs*EffShare)/(1-AbsentPct)</f>
        <v>0</v>
      </c>
      <c r="L50" s="18">
        <f>Roster*WorkDays/7</f>
        <v>0</v>
      </c>
      <c r="M50" s="18">
        <f>L50*(1-AbsentPct)*ShiftHrs*EffShare</f>
        <v>0</v>
      </c>
      <c r="N50" s="18">
        <f>MAX(0,J50-M50)</f>
        <v>0</v>
      </c>
      <c r="O50" s="18">
        <f>MIN(N50/OTEff,L50*(1-AbsentPct)*OTCapHrs*OTTakeUp)</f>
        <v>0</v>
      </c>
      <c r="P50" s="18">
        <f>O50*OTEff</f>
        <v>0</v>
      </c>
      <c r="Q50" s="18">
        <f>MAX(0,N50-P50)</f>
        <v>0</v>
      </c>
      <c r="R50" s="4">
        <f>ROUNDUP(ROUND(Q50/(ShiftHrs*EffShare*FlexFactor),9),0)</f>
        <v>0</v>
      </c>
      <c r="S50" s="4">
        <f>R50*ShiftHrs</f>
        <v>0</v>
      </c>
      <c r="T50" s="5">
        <f>L50*(1-AbsentPct)*ShiftHrs*Wage</f>
        <v>0</v>
      </c>
      <c r="U50" s="5">
        <f>O50*Wage*OTMult</f>
        <v>0</v>
      </c>
      <c r="V50" s="5">
        <f>S50*FlexWage</f>
        <v>0</v>
      </c>
      <c r="W50" s="5">
        <f>SUM(T50:V50)</f>
        <v>0</v>
      </c>
      <c r="X50" s="6">
        <f>W50/E50</f>
        <v>0</v>
      </c>
      <c r="Y50" s="7">
        <f>MIN(J50,M50)/M50</f>
        <v>0</v>
      </c>
      <c r="Z50" s="10">
        <f>IF(R50&gt;0,"Flex hire",IF(O50&gt;0,"Overtime","Roster covers"))</f>
        <v>0</v>
      </c>
    </row>
    <row r="51" spans="1:26">
      <c r="A51" s="16">
        <v>46374</v>
      </c>
      <c r="B51" s="10">
        <f>TEXT(A51,"ddd")</f>
        <v>0</v>
      </c>
      <c r="C51" s="10">
        <f>INT((A51-$A$5)/7)+1</f>
        <v>0</v>
      </c>
      <c r="D51" s="17">
        <v>54870</v>
      </c>
      <c r="E51" s="4">
        <f>D51*DemandMult</f>
        <v>0</v>
      </c>
      <c r="F51" s="18">
        <f>E51*Share_Stow/UPH_Stow</f>
        <v>0</v>
      </c>
      <c r="G51" s="18">
        <f>E51*Share_Pick/UPH_Pick</f>
        <v>0</v>
      </c>
      <c r="H51" s="18">
        <f>E51*Share_Pack/UPH_Pack</f>
        <v>0</v>
      </c>
      <c r="I51" s="18">
        <f>E51*Share_Ship/UPH_Ship</f>
        <v>0</v>
      </c>
      <c r="J51" s="18">
        <f>SUM(F51:I51)</f>
        <v>0</v>
      </c>
      <c r="K51" s="18">
        <f>J51/(ShiftHrs*EffShare)/(1-AbsentPct)</f>
        <v>0</v>
      </c>
      <c r="L51" s="18">
        <f>Roster*WorkDays/7</f>
        <v>0</v>
      </c>
      <c r="M51" s="18">
        <f>L51*(1-AbsentPct)*ShiftHrs*EffShare</f>
        <v>0</v>
      </c>
      <c r="N51" s="18">
        <f>MAX(0,J51-M51)</f>
        <v>0</v>
      </c>
      <c r="O51" s="18">
        <f>MIN(N51/OTEff,L51*(1-AbsentPct)*OTCapHrs*OTTakeUp)</f>
        <v>0</v>
      </c>
      <c r="P51" s="18">
        <f>O51*OTEff</f>
        <v>0</v>
      </c>
      <c r="Q51" s="18">
        <f>MAX(0,N51-P51)</f>
        <v>0</v>
      </c>
      <c r="R51" s="4">
        <f>ROUNDUP(ROUND(Q51/(ShiftHrs*EffShare*FlexFactor),9),0)</f>
        <v>0</v>
      </c>
      <c r="S51" s="4">
        <f>R51*ShiftHrs</f>
        <v>0</v>
      </c>
      <c r="T51" s="5">
        <f>L51*(1-AbsentPct)*ShiftHrs*Wage</f>
        <v>0</v>
      </c>
      <c r="U51" s="5">
        <f>O51*Wage*OTMult</f>
        <v>0</v>
      </c>
      <c r="V51" s="5">
        <f>S51*FlexWage</f>
        <v>0</v>
      </c>
      <c r="W51" s="5">
        <f>SUM(T51:V51)</f>
        <v>0</v>
      </c>
      <c r="X51" s="6">
        <f>W51/E51</f>
        <v>0</v>
      </c>
      <c r="Y51" s="7">
        <f>MIN(J51,M51)/M51</f>
        <v>0</v>
      </c>
      <c r="Z51" s="10">
        <f>IF(R51&gt;0,"Flex hire",IF(O51&gt;0,"Overtime","Roster covers"))</f>
        <v>0</v>
      </c>
    </row>
    <row r="52" spans="1:26">
      <c r="A52" s="16">
        <v>46375</v>
      </c>
      <c r="B52" s="10">
        <f>TEXT(A52,"ddd")</f>
        <v>0</v>
      </c>
      <c r="C52" s="10">
        <f>INT((A52-$A$5)/7)+1</f>
        <v>0</v>
      </c>
      <c r="D52" s="17">
        <v>48060</v>
      </c>
      <c r="E52" s="4">
        <f>D52*DemandMult</f>
        <v>0</v>
      </c>
      <c r="F52" s="18">
        <f>E52*Share_Stow/UPH_Stow</f>
        <v>0</v>
      </c>
      <c r="G52" s="18">
        <f>E52*Share_Pick/UPH_Pick</f>
        <v>0</v>
      </c>
      <c r="H52" s="18">
        <f>E52*Share_Pack/UPH_Pack</f>
        <v>0</v>
      </c>
      <c r="I52" s="18">
        <f>E52*Share_Ship/UPH_Ship</f>
        <v>0</v>
      </c>
      <c r="J52" s="18">
        <f>SUM(F52:I52)</f>
        <v>0</v>
      </c>
      <c r="K52" s="18">
        <f>J52/(ShiftHrs*EffShare)/(1-AbsentPct)</f>
        <v>0</v>
      </c>
      <c r="L52" s="18">
        <f>Roster*WorkDays/7</f>
        <v>0</v>
      </c>
      <c r="M52" s="18">
        <f>L52*(1-AbsentPct)*ShiftHrs*EffShare</f>
        <v>0</v>
      </c>
      <c r="N52" s="18">
        <f>MAX(0,J52-M52)</f>
        <v>0</v>
      </c>
      <c r="O52" s="18">
        <f>MIN(N52/OTEff,L52*(1-AbsentPct)*OTCapHrs*OTTakeUp)</f>
        <v>0</v>
      </c>
      <c r="P52" s="18">
        <f>O52*OTEff</f>
        <v>0</v>
      </c>
      <c r="Q52" s="18">
        <f>MAX(0,N52-P52)</f>
        <v>0</v>
      </c>
      <c r="R52" s="4">
        <f>ROUNDUP(ROUND(Q52/(ShiftHrs*EffShare*FlexFactor),9),0)</f>
        <v>0</v>
      </c>
      <c r="S52" s="4">
        <f>R52*ShiftHrs</f>
        <v>0</v>
      </c>
      <c r="T52" s="5">
        <f>L52*(1-AbsentPct)*ShiftHrs*Wage</f>
        <v>0</v>
      </c>
      <c r="U52" s="5">
        <f>O52*Wage*OTMult</f>
        <v>0</v>
      </c>
      <c r="V52" s="5">
        <f>S52*FlexWage</f>
        <v>0</v>
      </c>
      <c r="W52" s="5">
        <f>SUM(T52:V52)</f>
        <v>0</v>
      </c>
      <c r="X52" s="6">
        <f>W52/E52</f>
        <v>0</v>
      </c>
      <c r="Y52" s="7">
        <f>MIN(J52,M52)/M52</f>
        <v>0</v>
      </c>
      <c r="Z52" s="10">
        <f>IF(R52&gt;0,"Flex hire",IF(O52&gt;0,"Overtime","Roster covers"))</f>
        <v>0</v>
      </c>
    </row>
    <row r="53" spans="1:26">
      <c r="A53" s="16">
        <v>46376</v>
      </c>
      <c r="B53" s="10">
        <f>TEXT(A53,"ddd")</f>
        <v>0</v>
      </c>
      <c r="C53" s="10">
        <f>INT((A53-$A$5)/7)+1</f>
        <v>0</v>
      </c>
      <c r="D53" s="17">
        <v>36330</v>
      </c>
      <c r="E53" s="4">
        <f>D53*DemandMult</f>
        <v>0</v>
      </c>
      <c r="F53" s="18">
        <f>E53*Share_Stow/UPH_Stow</f>
        <v>0</v>
      </c>
      <c r="G53" s="18">
        <f>E53*Share_Pick/UPH_Pick</f>
        <v>0</v>
      </c>
      <c r="H53" s="18">
        <f>E53*Share_Pack/UPH_Pack</f>
        <v>0</v>
      </c>
      <c r="I53" s="18">
        <f>E53*Share_Ship/UPH_Ship</f>
        <v>0</v>
      </c>
      <c r="J53" s="18">
        <f>SUM(F53:I53)</f>
        <v>0</v>
      </c>
      <c r="K53" s="18">
        <f>J53/(ShiftHrs*EffShare)/(1-AbsentPct)</f>
        <v>0</v>
      </c>
      <c r="L53" s="18">
        <f>Roster*WorkDays/7</f>
        <v>0</v>
      </c>
      <c r="M53" s="18">
        <f>L53*(1-AbsentPct)*ShiftHrs*EffShare</f>
        <v>0</v>
      </c>
      <c r="N53" s="18">
        <f>MAX(0,J53-M53)</f>
        <v>0</v>
      </c>
      <c r="O53" s="18">
        <f>MIN(N53/OTEff,L53*(1-AbsentPct)*OTCapHrs*OTTakeUp)</f>
        <v>0</v>
      </c>
      <c r="P53" s="18">
        <f>O53*OTEff</f>
        <v>0</v>
      </c>
      <c r="Q53" s="18">
        <f>MAX(0,N53-P53)</f>
        <v>0</v>
      </c>
      <c r="R53" s="4">
        <f>ROUNDUP(ROUND(Q53/(ShiftHrs*EffShare*FlexFactor),9),0)</f>
        <v>0</v>
      </c>
      <c r="S53" s="4">
        <f>R53*ShiftHrs</f>
        <v>0</v>
      </c>
      <c r="T53" s="5">
        <f>L53*(1-AbsentPct)*ShiftHrs*Wage</f>
        <v>0</v>
      </c>
      <c r="U53" s="5">
        <f>O53*Wage*OTMult</f>
        <v>0</v>
      </c>
      <c r="V53" s="5">
        <f>S53*FlexWage</f>
        <v>0</v>
      </c>
      <c r="W53" s="5">
        <f>SUM(T53:V53)</f>
        <v>0</v>
      </c>
      <c r="X53" s="6">
        <f>W53/E53</f>
        <v>0</v>
      </c>
      <c r="Y53" s="7">
        <f>MIN(J53,M53)/M53</f>
        <v>0</v>
      </c>
      <c r="Z53" s="10">
        <f>IF(R53&gt;0,"Flex hire",IF(O53&gt;0,"Overtime","Roster covers"))</f>
        <v>0</v>
      </c>
    </row>
    <row r="54" spans="1:26">
      <c r="A54" s="16">
        <v>46377</v>
      </c>
      <c r="B54" s="10">
        <f>TEXT(A54,"ddd")</f>
        <v>0</v>
      </c>
      <c r="C54" s="10">
        <f>INT((A54-$A$5)/7)+1</f>
        <v>0</v>
      </c>
      <c r="D54" s="17">
        <v>51260</v>
      </c>
      <c r="E54" s="4">
        <f>D54*DemandMult</f>
        <v>0</v>
      </c>
      <c r="F54" s="18">
        <f>E54*Share_Stow/UPH_Stow</f>
        <v>0</v>
      </c>
      <c r="G54" s="18">
        <f>E54*Share_Pick/UPH_Pick</f>
        <v>0</v>
      </c>
      <c r="H54" s="18">
        <f>E54*Share_Pack/UPH_Pack</f>
        <v>0</v>
      </c>
      <c r="I54" s="18">
        <f>E54*Share_Ship/UPH_Ship</f>
        <v>0</v>
      </c>
      <c r="J54" s="18">
        <f>SUM(F54:I54)</f>
        <v>0</v>
      </c>
      <c r="K54" s="18">
        <f>J54/(ShiftHrs*EffShare)/(1-AbsentPct)</f>
        <v>0</v>
      </c>
      <c r="L54" s="18">
        <f>Roster*WorkDays/7</f>
        <v>0</v>
      </c>
      <c r="M54" s="18">
        <f>L54*(1-AbsentPct)*ShiftHrs*EffShare</f>
        <v>0</v>
      </c>
      <c r="N54" s="18">
        <f>MAX(0,J54-M54)</f>
        <v>0</v>
      </c>
      <c r="O54" s="18">
        <f>MIN(N54/OTEff,L54*(1-AbsentPct)*OTCapHrs*OTTakeUp)</f>
        <v>0</v>
      </c>
      <c r="P54" s="18">
        <f>O54*OTEff</f>
        <v>0</v>
      </c>
      <c r="Q54" s="18">
        <f>MAX(0,N54-P54)</f>
        <v>0</v>
      </c>
      <c r="R54" s="4">
        <f>ROUNDUP(ROUND(Q54/(ShiftHrs*EffShare*FlexFactor),9),0)</f>
        <v>0</v>
      </c>
      <c r="S54" s="4">
        <f>R54*ShiftHrs</f>
        <v>0</v>
      </c>
      <c r="T54" s="5">
        <f>L54*(1-AbsentPct)*ShiftHrs*Wage</f>
        <v>0</v>
      </c>
      <c r="U54" s="5">
        <f>O54*Wage*OTMult</f>
        <v>0</v>
      </c>
      <c r="V54" s="5">
        <f>S54*FlexWage</f>
        <v>0</v>
      </c>
      <c r="W54" s="5">
        <f>SUM(T54:V54)</f>
        <v>0</v>
      </c>
      <c r="X54" s="6">
        <f>W54/E54</f>
        <v>0</v>
      </c>
      <c r="Y54" s="7">
        <f>MIN(J54,M54)/M54</f>
        <v>0</v>
      </c>
      <c r="Z54" s="10">
        <f>IF(R54&gt;0,"Flex hire",IF(O54&gt;0,"Overtime","Roster covers"))</f>
        <v>0</v>
      </c>
    </row>
    <row r="55" spans="1:26">
      <c r="A55" s="16">
        <v>46378</v>
      </c>
      <c r="B55" s="10">
        <f>TEXT(A55,"ddd")</f>
        <v>0</v>
      </c>
      <c r="C55" s="10">
        <f>INT((A55-$A$5)/7)+1</f>
        <v>0</v>
      </c>
      <c r="D55" s="17">
        <v>48960</v>
      </c>
      <c r="E55" s="4">
        <f>D55*DemandMult</f>
        <v>0</v>
      </c>
      <c r="F55" s="18">
        <f>E55*Share_Stow/UPH_Stow</f>
        <v>0</v>
      </c>
      <c r="G55" s="18">
        <f>E55*Share_Pick/UPH_Pick</f>
        <v>0</v>
      </c>
      <c r="H55" s="18">
        <f>E55*Share_Pack/UPH_Pack</f>
        <v>0</v>
      </c>
      <c r="I55" s="18">
        <f>E55*Share_Ship/UPH_Ship</f>
        <v>0</v>
      </c>
      <c r="J55" s="18">
        <f>SUM(F55:I55)</f>
        <v>0</v>
      </c>
      <c r="K55" s="18">
        <f>J55/(ShiftHrs*EffShare)/(1-AbsentPct)</f>
        <v>0</v>
      </c>
      <c r="L55" s="18">
        <f>Roster*WorkDays/7</f>
        <v>0</v>
      </c>
      <c r="M55" s="18">
        <f>L55*(1-AbsentPct)*ShiftHrs*EffShare</f>
        <v>0</v>
      </c>
      <c r="N55" s="18">
        <f>MAX(0,J55-M55)</f>
        <v>0</v>
      </c>
      <c r="O55" s="18">
        <f>MIN(N55/OTEff,L55*(1-AbsentPct)*OTCapHrs*OTTakeUp)</f>
        <v>0</v>
      </c>
      <c r="P55" s="18">
        <f>O55*OTEff</f>
        <v>0</v>
      </c>
      <c r="Q55" s="18">
        <f>MAX(0,N55-P55)</f>
        <v>0</v>
      </c>
      <c r="R55" s="4">
        <f>ROUNDUP(ROUND(Q55/(ShiftHrs*EffShare*FlexFactor),9),0)</f>
        <v>0</v>
      </c>
      <c r="S55" s="4">
        <f>R55*ShiftHrs</f>
        <v>0</v>
      </c>
      <c r="T55" s="5">
        <f>L55*(1-AbsentPct)*ShiftHrs*Wage</f>
        <v>0</v>
      </c>
      <c r="U55" s="5">
        <f>O55*Wage*OTMult</f>
        <v>0</v>
      </c>
      <c r="V55" s="5">
        <f>S55*FlexWage</f>
        <v>0</v>
      </c>
      <c r="W55" s="5">
        <f>SUM(T55:V55)</f>
        <v>0</v>
      </c>
      <c r="X55" s="6">
        <f>W55/E55</f>
        <v>0</v>
      </c>
      <c r="Y55" s="7">
        <f>MIN(J55,M55)/M55</f>
        <v>0</v>
      </c>
      <c r="Z55" s="10">
        <f>IF(R55&gt;0,"Flex hire",IF(O55&gt;0,"Overtime","Roster covers"))</f>
        <v>0</v>
      </c>
    </row>
    <row r="56" spans="1:26">
      <c r="A56" s="16">
        <v>46379</v>
      </c>
      <c r="B56" s="10">
        <f>TEXT(A56,"ddd")</f>
        <v>0</v>
      </c>
      <c r="C56" s="10">
        <f>INT((A56-$A$5)/7)+1</f>
        <v>0</v>
      </c>
      <c r="D56" s="17">
        <v>47560</v>
      </c>
      <c r="E56" s="4">
        <f>D56*DemandMult</f>
        <v>0</v>
      </c>
      <c r="F56" s="18">
        <f>E56*Share_Stow/UPH_Stow</f>
        <v>0</v>
      </c>
      <c r="G56" s="18">
        <f>E56*Share_Pick/UPH_Pick</f>
        <v>0</v>
      </c>
      <c r="H56" s="18">
        <f>E56*Share_Pack/UPH_Pack</f>
        <v>0</v>
      </c>
      <c r="I56" s="18">
        <f>E56*Share_Ship/UPH_Ship</f>
        <v>0</v>
      </c>
      <c r="J56" s="18">
        <f>SUM(F56:I56)</f>
        <v>0</v>
      </c>
      <c r="K56" s="18">
        <f>J56/(ShiftHrs*EffShare)/(1-AbsentPct)</f>
        <v>0</v>
      </c>
      <c r="L56" s="18">
        <f>Roster*WorkDays/7</f>
        <v>0</v>
      </c>
      <c r="M56" s="18">
        <f>L56*(1-AbsentPct)*ShiftHrs*EffShare</f>
        <v>0</v>
      </c>
      <c r="N56" s="18">
        <f>MAX(0,J56-M56)</f>
        <v>0</v>
      </c>
      <c r="O56" s="18">
        <f>MIN(N56/OTEff,L56*(1-AbsentPct)*OTCapHrs*OTTakeUp)</f>
        <v>0</v>
      </c>
      <c r="P56" s="18">
        <f>O56*OTEff</f>
        <v>0</v>
      </c>
      <c r="Q56" s="18">
        <f>MAX(0,N56-P56)</f>
        <v>0</v>
      </c>
      <c r="R56" s="4">
        <f>ROUNDUP(ROUND(Q56/(ShiftHrs*EffShare*FlexFactor),9),0)</f>
        <v>0</v>
      </c>
      <c r="S56" s="4">
        <f>R56*ShiftHrs</f>
        <v>0</v>
      </c>
      <c r="T56" s="5">
        <f>L56*(1-AbsentPct)*ShiftHrs*Wage</f>
        <v>0</v>
      </c>
      <c r="U56" s="5">
        <f>O56*Wage*OTMult</f>
        <v>0</v>
      </c>
      <c r="V56" s="5">
        <f>S56*FlexWage</f>
        <v>0</v>
      </c>
      <c r="W56" s="5">
        <f>SUM(T56:V56)</f>
        <v>0</v>
      </c>
      <c r="X56" s="6">
        <f>W56/E56</f>
        <v>0</v>
      </c>
      <c r="Y56" s="7">
        <f>MIN(J56,M56)/M56</f>
        <v>0</v>
      </c>
      <c r="Z56" s="10">
        <f>IF(R56&gt;0,"Flex hire",IF(O56&gt;0,"Overtime","Roster covers"))</f>
        <v>0</v>
      </c>
    </row>
    <row r="57" spans="1:26">
      <c r="A57" s="16">
        <v>46380</v>
      </c>
      <c r="B57" s="10">
        <f>TEXT(A57,"ddd")</f>
        <v>0</v>
      </c>
      <c r="C57" s="10">
        <f>INT((A57-$A$5)/7)+1</f>
        <v>0</v>
      </c>
      <c r="D57" s="17">
        <v>47850</v>
      </c>
      <c r="E57" s="4">
        <f>D57*DemandMult</f>
        <v>0</v>
      </c>
      <c r="F57" s="18">
        <f>E57*Share_Stow/UPH_Stow</f>
        <v>0</v>
      </c>
      <c r="G57" s="18">
        <f>E57*Share_Pick/UPH_Pick</f>
        <v>0</v>
      </c>
      <c r="H57" s="18">
        <f>E57*Share_Pack/UPH_Pack</f>
        <v>0</v>
      </c>
      <c r="I57" s="18">
        <f>E57*Share_Ship/UPH_Ship</f>
        <v>0</v>
      </c>
      <c r="J57" s="18">
        <f>SUM(F57:I57)</f>
        <v>0</v>
      </c>
      <c r="K57" s="18">
        <f>J57/(ShiftHrs*EffShare)/(1-AbsentPct)</f>
        <v>0</v>
      </c>
      <c r="L57" s="18">
        <f>Roster*WorkDays/7</f>
        <v>0</v>
      </c>
      <c r="M57" s="18">
        <f>L57*(1-AbsentPct)*ShiftHrs*EffShare</f>
        <v>0</v>
      </c>
      <c r="N57" s="18">
        <f>MAX(0,J57-M57)</f>
        <v>0</v>
      </c>
      <c r="O57" s="18">
        <f>MIN(N57/OTEff,L57*(1-AbsentPct)*OTCapHrs*OTTakeUp)</f>
        <v>0</v>
      </c>
      <c r="P57" s="18">
        <f>O57*OTEff</f>
        <v>0</v>
      </c>
      <c r="Q57" s="18">
        <f>MAX(0,N57-P57)</f>
        <v>0</v>
      </c>
      <c r="R57" s="4">
        <f>ROUNDUP(ROUND(Q57/(ShiftHrs*EffShare*FlexFactor),9),0)</f>
        <v>0</v>
      </c>
      <c r="S57" s="4">
        <f>R57*ShiftHrs</f>
        <v>0</v>
      </c>
      <c r="T57" s="5">
        <f>L57*(1-AbsentPct)*ShiftHrs*Wage</f>
        <v>0</v>
      </c>
      <c r="U57" s="5">
        <f>O57*Wage*OTMult</f>
        <v>0</v>
      </c>
      <c r="V57" s="5">
        <f>S57*FlexWage</f>
        <v>0</v>
      </c>
      <c r="W57" s="5">
        <f>SUM(T57:V57)</f>
        <v>0</v>
      </c>
      <c r="X57" s="6">
        <f>W57/E57</f>
        <v>0</v>
      </c>
      <c r="Y57" s="7">
        <f>MIN(J57,M57)/M57</f>
        <v>0</v>
      </c>
      <c r="Z57" s="10">
        <f>IF(R57&gt;0,"Flex hire",IF(O57&gt;0,"Overtime","Roster covers"))</f>
        <v>0</v>
      </c>
    </row>
    <row r="58" spans="1:26">
      <c r="A58" s="16">
        <v>46381</v>
      </c>
      <c r="B58" s="10">
        <f>TEXT(A58,"ddd")</f>
        <v>0</v>
      </c>
      <c r="C58" s="10">
        <f>INT((A58-$A$5)/7)+1</f>
        <v>0</v>
      </c>
      <c r="D58" s="17">
        <v>50670</v>
      </c>
      <c r="E58" s="4">
        <f>D58*DemandMult</f>
        <v>0</v>
      </c>
      <c r="F58" s="18">
        <f>E58*Share_Stow/UPH_Stow</f>
        <v>0</v>
      </c>
      <c r="G58" s="18">
        <f>E58*Share_Pick/UPH_Pick</f>
        <v>0</v>
      </c>
      <c r="H58" s="18">
        <f>E58*Share_Pack/UPH_Pack</f>
        <v>0</v>
      </c>
      <c r="I58" s="18">
        <f>E58*Share_Ship/UPH_Ship</f>
        <v>0</v>
      </c>
      <c r="J58" s="18">
        <f>SUM(F58:I58)</f>
        <v>0</v>
      </c>
      <c r="K58" s="18">
        <f>J58/(ShiftHrs*EffShare)/(1-AbsentPct)</f>
        <v>0</v>
      </c>
      <c r="L58" s="18">
        <f>Roster*WorkDays/7</f>
        <v>0</v>
      </c>
      <c r="M58" s="18">
        <f>L58*(1-AbsentPct)*ShiftHrs*EffShare</f>
        <v>0</v>
      </c>
      <c r="N58" s="18">
        <f>MAX(0,J58-M58)</f>
        <v>0</v>
      </c>
      <c r="O58" s="18">
        <f>MIN(N58/OTEff,L58*(1-AbsentPct)*OTCapHrs*OTTakeUp)</f>
        <v>0</v>
      </c>
      <c r="P58" s="18">
        <f>O58*OTEff</f>
        <v>0</v>
      </c>
      <c r="Q58" s="18">
        <f>MAX(0,N58-P58)</f>
        <v>0</v>
      </c>
      <c r="R58" s="4">
        <f>ROUNDUP(ROUND(Q58/(ShiftHrs*EffShare*FlexFactor),9),0)</f>
        <v>0</v>
      </c>
      <c r="S58" s="4">
        <f>R58*ShiftHrs</f>
        <v>0</v>
      </c>
      <c r="T58" s="5">
        <f>L58*(1-AbsentPct)*ShiftHrs*Wage</f>
        <v>0</v>
      </c>
      <c r="U58" s="5">
        <f>O58*Wage*OTMult</f>
        <v>0</v>
      </c>
      <c r="V58" s="5">
        <f>S58*FlexWage</f>
        <v>0</v>
      </c>
      <c r="W58" s="5">
        <f>SUM(T58:V58)</f>
        <v>0</v>
      </c>
      <c r="X58" s="6">
        <f>W58/E58</f>
        <v>0</v>
      </c>
      <c r="Y58" s="7">
        <f>MIN(J58,M58)/M58</f>
        <v>0</v>
      </c>
      <c r="Z58" s="10">
        <f>IF(R58&gt;0,"Flex hire",IF(O58&gt;0,"Overtime","Roster covers"))</f>
        <v>0</v>
      </c>
    </row>
    <row r="59" spans="1:26">
      <c r="A59" s="16">
        <v>46382</v>
      </c>
      <c r="B59" s="10">
        <f>TEXT(A59,"ddd")</f>
        <v>0</v>
      </c>
      <c r="C59" s="10">
        <f>INT((A59-$A$5)/7)+1</f>
        <v>0</v>
      </c>
      <c r="D59" s="17">
        <v>46670</v>
      </c>
      <c r="E59" s="4">
        <f>D59*DemandMult</f>
        <v>0</v>
      </c>
      <c r="F59" s="18">
        <f>E59*Share_Stow/UPH_Stow</f>
        <v>0</v>
      </c>
      <c r="G59" s="18">
        <f>E59*Share_Pick/UPH_Pick</f>
        <v>0</v>
      </c>
      <c r="H59" s="18">
        <f>E59*Share_Pack/UPH_Pack</f>
        <v>0</v>
      </c>
      <c r="I59" s="18">
        <f>E59*Share_Ship/UPH_Ship</f>
        <v>0</v>
      </c>
      <c r="J59" s="18">
        <f>SUM(F59:I59)</f>
        <v>0</v>
      </c>
      <c r="K59" s="18">
        <f>J59/(ShiftHrs*EffShare)/(1-AbsentPct)</f>
        <v>0</v>
      </c>
      <c r="L59" s="18">
        <f>Roster*WorkDays/7</f>
        <v>0</v>
      </c>
      <c r="M59" s="18">
        <f>L59*(1-AbsentPct)*ShiftHrs*EffShare</f>
        <v>0</v>
      </c>
      <c r="N59" s="18">
        <f>MAX(0,J59-M59)</f>
        <v>0</v>
      </c>
      <c r="O59" s="18">
        <f>MIN(N59/OTEff,L59*(1-AbsentPct)*OTCapHrs*OTTakeUp)</f>
        <v>0</v>
      </c>
      <c r="P59" s="18">
        <f>O59*OTEff</f>
        <v>0</v>
      </c>
      <c r="Q59" s="18">
        <f>MAX(0,N59-P59)</f>
        <v>0</v>
      </c>
      <c r="R59" s="4">
        <f>ROUNDUP(ROUND(Q59/(ShiftHrs*EffShare*FlexFactor),9),0)</f>
        <v>0</v>
      </c>
      <c r="S59" s="4">
        <f>R59*ShiftHrs</f>
        <v>0</v>
      </c>
      <c r="T59" s="5">
        <f>L59*(1-AbsentPct)*ShiftHrs*Wage</f>
        <v>0</v>
      </c>
      <c r="U59" s="5">
        <f>O59*Wage*OTMult</f>
        <v>0</v>
      </c>
      <c r="V59" s="5">
        <f>S59*FlexWage</f>
        <v>0</v>
      </c>
      <c r="W59" s="5">
        <f>SUM(T59:V59)</f>
        <v>0</v>
      </c>
      <c r="X59" s="6">
        <f>W59/E59</f>
        <v>0</v>
      </c>
      <c r="Y59" s="7">
        <f>MIN(J59,M59)/M59</f>
        <v>0</v>
      </c>
      <c r="Z59" s="10">
        <f>IF(R59&gt;0,"Flex hire",IF(O59&gt;0,"Overtime","Roster covers"))</f>
        <v>0</v>
      </c>
    </row>
    <row r="60" spans="1:26">
      <c r="A60" s="16">
        <v>46383</v>
      </c>
      <c r="B60" s="10">
        <f>TEXT(A60,"ddd")</f>
        <v>0</v>
      </c>
      <c r="C60" s="10">
        <f>INT((A60-$A$5)/7)+1</f>
        <v>0</v>
      </c>
      <c r="D60" s="17">
        <v>33190</v>
      </c>
      <c r="E60" s="4">
        <f>D60*DemandMult</f>
        <v>0</v>
      </c>
      <c r="F60" s="18">
        <f>E60*Share_Stow/UPH_Stow</f>
        <v>0</v>
      </c>
      <c r="G60" s="18">
        <f>E60*Share_Pick/UPH_Pick</f>
        <v>0</v>
      </c>
      <c r="H60" s="18">
        <f>E60*Share_Pack/UPH_Pack</f>
        <v>0</v>
      </c>
      <c r="I60" s="18">
        <f>E60*Share_Ship/UPH_Ship</f>
        <v>0</v>
      </c>
      <c r="J60" s="18">
        <f>SUM(F60:I60)</f>
        <v>0</v>
      </c>
      <c r="K60" s="18">
        <f>J60/(ShiftHrs*EffShare)/(1-AbsentPct)</f>
        <v>0</v>
      </c>
      <c r="L60" s="18">
        <f>Roster*WorkDays/7</f>
        <v>0</v>
      </c>
      <c r="M60" s="18">
        <f>L60*(1-AbsentPct)*ShiftHrs*EffShare</f>
        <v>0</v>
      </c>
      <c r="N60" s="18">
        <f>MAX(0,J60-M60)</f>
        <v>0</v>
      </c>
      <c r="O60" s="18">
        <f>MIN(N60/OTEff,L60*(1-AbsentPct)*OTCapHrs*OTTakeUp)</f>
        <v>0</v>
      </c>
      <c r="P60" s="18">
        <f>O60*OTEff</f>
        <v>0</v>
      </c>
      <c r="Q60" s="18">
        <f>MAX(0,N60-P60)</f>
        <v>0</v>
      </c>
      <c r="R60" s="4">
        <f>ROUNDUP(ROUND(Q60/(ShiftHrs*EffShare*FlexFactor),9),0)</f>
        <v>0</v>
      </c>
      <c r="S60" s="4">
        <f>R60*ShiftHrs</f>
        <v>0</v>
      </c>
      <c r="T60" s="5">
        <f>L60*(1-AbsentPct)*ShiftHrs*Wage</f>
        <v>0</v>
      </c>
      <c r="U60" s="5">
        <f>O60*Wage*OTMult</f>
        <v>0</v>
      </c>
      <c r="V60" s="5">
        <f>S60*FlexWage</f>
        <v>0</v>
      </c>
      <c r="W60" s="5">
        <f>SUM(T60:V60)</f>
        <v>0</v>
      </c>
      <c r="X60" s="6">
        <f>W60/E60</f>
        <v>0</v>
      </c>
      <c r="Y60" s="7">
        <f>MIN(J60,M60)/M60</f>
        <v>0</v>
      </c>
      <c r="Z60" s="10">
        <f>IF(R60&gt;0,"Flex hire",IF(O60&gt;0,"Overtime","Roster covers"))</f>
        <v>0</v>
      </c>
    </row>
  </sheetData>
  <conditionalFormatting sqref="Z5:Z60">
    <cfRule type="cellIs" dxfId="0" priority="1" operator="equal">
      <formula>"Flex hire"</formula>
    </cfRule>
    <cfRule type="cellIs" dxfId="1" priority="2" operator="equal">
      <formula>"Overtime"</formula>
    </cfRule>
  </conditionalFormatting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2303C"/>
    <pageSetUpPr fitToPage="1"/>
  </sheetPr>
  <dimension ref="A1:H6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8" width="13.7109375" customWidth="1"/>
  </cols>
  <sheetData>
    <row r="1" spans="1:8">
      <c r="A1" s="1" t="s">
        <v>96</v>
      </c>
    </row>
    <row r="2" spans="1:8">
      <c r="A2" s="2" t="s">
        <v>97</v>
      </c>
    </row>
    <row r="4" spans="1:8" ht="30" customHeight="1">
      <c r="A4" s="9" t="s">
        <v>70</v>
      </c>
      <c r="B4" s="9" t="s">
        <v>71</v>
      </c>
      <c r="C4" s="9" t="s">
        <v>98</v>
      </c>
      <c r="D4" s="9" t="s">
        <v>87</v>
      </c>
      <c r="E4" s="9" t="s">
        <v>99</v>
      </c>
      <c r="F4" s="9" t="s">
        <v>100</v>
      </c>
      <c r="G4" s="9" t="s">
        <v>101</v>
      </c>
      <c r="H4" s="9" t="s">
        <v>102</v>
      </c>
    </row>
    <row r="5" spans="1:8">
      <c r="A5" s="16">
        <f>Plan!A5</f>
        <v>0</v>
      </c>
      <c r="B5" s="10">
        <f>Plan!B5</f>
        <v>0</v>
      </c>
      <c r="C5" s="18">
        <f>Plan!L5*(1-AbsentPct)</f>
        <v>0</v>
      </c>
      <c r="D5" s="4">
        <f>Plan!R5</f>
        <v>0</v>
      </c>
      <c r="E5" s="18">
        <f>C5+D5</f>
        <v>0</v>
      </c>
      <c r="F5" s="4">
        <f>ROUND(E5*ShareA,0)</f>
        <v>0</v>
      </c>
      <c r="G5" s="4">
        <f>ROUND(E5*ShareB,0)</f>
        <v>0</v>
      </c>
      <c r="H5" s="4">
        <f>ROUND(E5,0)-F5-G5</f>
        <v>0</v>
      </c>
    </row>
    <row r="6" spans="1:8">
      <c r="A6" s="16">
        <f>Plan!A6</f>
        <v>0</v>
      </c>
      <c r="B6" s="10">
        <f>Plan!B6</f>
        <v>0</v>
      </c>
      <c r="C6" s="18">
        <f>Plan!L6*(1-AbsentPct)</f>
        <v>0</v>
      </c>
      <c r="D6" s="4">
        <f>Plan!R6</f>
        <v>0</v>
      </c>
      <c r="E6" s="18">
        <f>C6+D6</f>
        <v>0</v>
      </c>
      <c r="F6" s="4">
        <f>ROUND(E6*ShareA,0)</f>
        <v>0</v>
      </c>
      <c r="G6" s="4">
        <f>ROUND(E6*ShareB,0)</f>
        <v>0</v>
      </c>
      <c r="H6" s="4">
        <f>ROUND(E6,0)-F6-G6</f>
        <v>0</v>
      </c>
    </row>
    <row r="7" spans="1:8">
      <c r="A7" s="16">
        <f>Plan!A7</f>
        <v>0</v>
      </c>
      <c r="B7" s="10">
        <f>Plan!B7</f>
        <v>0</v>
      </c>
      <c r="C7" s="18">
        <f>Plan!L7*(1-AbsentPct)</f>
        <v>0</v>
      </c>
      <c r="D7" s="4">
        <f>Plan!R7</f>
        <v>0</v>
      </c>
      <c r="E7" s="18">
        <f>C7+D7</f>
        <v>0</v>
      </c>
      <c r="F7" s="4">
        <f>ROUND(E7*ShareA,0)</f>
        <v>0</v>
      </c>
      <c r="G7" s="4">
        <f>ROUND(E7*ShareB,0)</f>
        <v>0</v>
      </c>
      <c r="H7" s="4">
        <f>ROUND(E7,0)-F7-G7</f>
        <v>0</v>
      </c>
    </row>
    <row r="8" spans="1:8">
      <c r="A8" s="16">
        <f>Plan!A8</f>
        <v>0</v>
      </c>
      <c r="B8" s="10">
        <f>Plan!B8</f>
        <v>0</v>
      </c>
      <c r="C8" s="18">
        <f>Plan!L8*(1-AbsentPct)</f>
        <v>0</v>
      </c>
      <c r="D8" s="4">
        <f>Plan!R8</f>
        <v>0</v>
      </c>
      <c r="E8" s="18">
        <f>C8+D8</f>
        <v>0</v>
      </c>
      <c r="F8" s="4">
        <f>ROUND(E8*ShareA,0)</f>
        <v>0</v>
      </c>
      <c r="G8" s="4">
        <f>ROUND(E8*ShareB,0)</f>
        <v>0</v>
      </c>
      <c r="H8" s="4">
        <f>ROUND(E8,0)-F8-G8</f>
        <v>0</v>
      </c>
    </row>
    <row r="9" spans="1:8">
      <c r="A9" s="16">
        <f>Plan!A9</f>
        <v>0</v>
      </c>
      <c r="B9" s="10">
        <f>Plan!B9</f>
        <v>0</v>
      </c>
      <c r="C9" s="18">
        <f>Plan!L9*(1-AbsentPct)</f>
        <v>0</v>
      </c>
      <c r="D9" s="4">
        <f>Plan!R9</f>
        <v>0</v>
      </c>
      <c r="E9" s="18">
        <f>C9+D9</f>
        <v>0</v>
      </c>
      <c r="F9" s="4">
        <f>ROUND(E9*ShareA,0)</f>
        <v>0</v>
      </c>
      <c r="G9" s="4">
        <f>ROUND(E9*ShareB,0)</f>
        <v>0</v>
      </c>
      <c r="H9" s="4">
        <f>ROUND(E9,0)-F9-G9</f>
        <v>0</v>
      </c>
    </row>
    <row r="10" spans="1:8">
      <c r="A10" s="16">
        <f>Plan!A10</f>
        <v>0</v>
      </c>
      <c r="B10" s="10">
        <f>Plan!B10</f>
        <v>0</v>
      </c>
      <c r="C10" s="18">
        <f>Plan!L10*(1-AbsentPct)</f>
        <v>0</v>
      </c>
      <c r="D10" s="4">
        <f>Plan!R10</f>
        <v>0</v>
      </c>
      <c r="E10" s="18">
        <f>C10+D10</f>
        <v>0</v>
      </c>
      <c r="F10" s="4">
        <f>ROUND(E10*ShareA,0)</f>
        <v>0</v>
      </c>
      <c r="G10" s="4">
        <f>ROUND(E10*ShareB,0)</f>
        <v>0</v>
      </c>
      <c r="H10" s="4">
        <f>ROUND(E10,0)-F10-G10</f>
        <v>0</v>
      </c>
    </row>
    <row r="11" spans="1:8">
      <c r="A11" s="16">
        <f>Plan!A11</f>
        <v>0</v>
      </c>
      <c r="B11" s="10">
        <f>Plan!B11</f>
        <v>0</v>
      </c>
      <c r="C11" s="18">
        <f>Plan!L11*(1-AbsentPct)</f>
        <v>0</v>
      </c>
      <c r="D11" s="4">
        <f>Plan!R11</f>
        <v>0</v>
      </c>
      <c r="E11" s="18">
        <f>C11+D11</f>
        <v>0</v>
      </c>
      <c r="F11" s="4">
        <f>ROUND(E11*ShareA,0)</f>
        <v>0</v>
      </c>
      <c r="G11" s="4">
        <f>ROUND(E11*ShareB,0)</f>
        <v>0</v>
      </c>
      <c r="H11" s="4">
        <f>ROUND(E11,0)-F11-G11</f>
        <v>0</v>
      </c>
    </row>
    <row r="12" spans="1:8">
      <c r="A12" s="16">
        <f>Plan!A12</f>
        <v>0</v>
      </c>
      <c r="B12" s="10">
        <f>Plan!B12</f>
        <v>0</v>
      </c>
      <c r="C12" s="18">
        <f>Plan!L12*(1-AbsentPct)</f>
        <v>0</v>
      </c>
      <c r="D12" s="4">
        <f>Plan!R12</f>
        <v>0</v>
      </c>
      <c r="E12" s="18">
        <f>C12+D12</f>
        <v>0</v>
      </c>
      <c r="F12" s="4">
        <f>ROUND(E12*ShareA,0)</f>
        <v>0</v>
      </c>
      <c r="G12" s="4">
        <f>ROUND(E12*ShareB,0)</f>
        <v>0</v>
      </c>
      <c r="H12" s="4">
        <f>ROUND(E12,0)-F12-G12</f>
        <v>0</v>
      </c>
    </row>
    <row r="13" spans="1:8">
      <c r="A13" s="16">
        <f>Plan!A13</f>
        <v>0</v>
      </c>
      <c r="B13" s="10">
        <f>Plan!B13</f>
        <v>0</v>
      </c>
      <c r="C13" s="18">
        <f>Plan!L13*(1-AbsentPct)</f>
        <v>0</v>
      </c>
      <c r="D13" s="4">
        <f>Plan!R13</f>
        <v>0</v>
      </c>
      <c r="E13" s="18">
        <f>C13+D13</f>
        <v>0</v>
      </c>
      <c r="F13" s="4">
        <f>ROUND(E13*ShareA,0)</f>
        <v>0</v>
      </c>
      <c r="G13" s="4">
        <f>ROUND(E13*ShareB,0)</f>
        <v>0</v>
      </c>
      <c r="H13" s="4">
        <f>ROUND(E13,0)-F13-G13</f>
        <v>0</v>
      </c>
    </row>
    <row r="14" spans="1:8">
      <c r="A14" s="16">
        <f>Plan!A14</f>
        <v>0</v>
      </c>
      <c r="B14" s="10">
        <f>Plan!B14</f>
        <v>0</v>
      </c>
      <c r="C14" s="18">
        <f>Plan!L14*(1-AbsentPct)</f>
        <v>0</v>
      </c>
      <c r="D14" s="4">
        <f>Plan!R14</f>
        <v>0</v>
      </c>
      <c r="E14" s="18">
        <f>C14+D14</f>
        <v>0</v>
      </c>
      <c r="F14" s="4">
        <f>ROUND(E14*ShareA,0)</f>
        <v>0</v>
      </c>
      <c r="G14" s="4">
        <f>ROUND(E14*ShareB,0)</f>
        <v>0</v>
      </c>
      <c r="H14" s="4">
        <f>ROUND(E14,0)-F14-G14</f>
        <v>0</v>
      </c>
    </row>
    <row r="15" spans="1:8">
      <c r="A15" s="16">
        <f>Plan!A15</f>
        <v>0</v>
      </c>
      <c r="B15" s="10">
        <f>Plan!B15</f>
        <v>0</v>
      </c>
      <c r="C15" s="18">
        <f>Plan!L15*(1-AbsentPct)</f>
        <v>0</v>
      </c>
      <c r="D15" s="4">
        <f>Plan!R15</f>
        <v>0</v>
      </c>
      <c r="E15" s="18">
        <f>C15+D15</f>
        <v>0</v>
      </c>
      <c r="F15" s="4">
        <f>ROUND(E15*ShareA,0)</f>
        <v>0</v>
      </c>
      <c r="G15" s="4">
        <f>ROUND(E15*ShareB,0)</f>
        <v>0</v>
      </c>
      <c r="H15" s="4">
        <f>ROUND(E15,0)-F15-G15</f>
        <v>0</v>
      </c>
    </row>
    <row r="16" spans="1:8">
      <c r="A16" s="16">
        <f>Plan!A16</f>
        <v>0</v>
      </c>
      <c r="B16" s="10">
        <f>Plan!B16</f>
        <v>0</v>
      </c>
      <c r="C16" s="18">
        <f>Plan!L16*(1-AbsentPct)</f>
        <v>0</v>
      </c>
      <c r="D16" s="4">
        <f>Plan!R16</f>
        <v>0</v>
      </c>
      <c r="E16" s="18">
        <f>C16+D16</f>
        <v>0</v>
      </c>
      <c r="F16" s="4">
        <f>ROUND(E16*ShareA,0)</f>
        <v>0</v>
      </c>
      <c r="G16" s="4">
        <f>ROUND(E16*ShareB,0)</f>
        <v>0</v>
      </c>
      <c r="H16" s="4">
        <f>ROUND(E16,0)-F16-G16</f>
        <v>0</v>
      </c>
    </row>
    <row r="17" spans="1:8">
      <c r="A17" s="16">
        <f>Plan!A17</f>
        <v>0</v>
      </c>
      <c r="B17" s="10">
        <f>Plan!B17</f>
        <v>0</v>
      </c>
      <c r="C17" s="18">
        <f>Plan!L17*(1-AbsentPct)</f>
        <v>0</v>
      </c>
      <c r="D17" s="4">
        <f>Plan!R17</f>
        <v>0</v>
      </c>
      <c r="E17" s="18">
        <f>C17+D17</f>
        <v>0</v>
      </c>
      <c r="F17" s="4">
        <f>ROUND(E17*ShareA,0)</f>
        <v>0</v>
      </c>
      <c r="G17" s="4">
        <f>ROUND(E17*ShareB,0)</f>
        <v>0</v>
      </c>
      <c r="H17" s="4">
        <f>ROUND(E17,0)-F17-G17</f>
        <v>0</v>
      </c>
    </row>
    <row r="18" spans="1:8">
      <c r="A18" s="16">
        <f>Plan!A18</f>
        <v>0</v>
      </c>
      <c r="B18" s="10">
        <f>Plan!B18</f>
        <v>0</v>
      </c>
      <c r="C18" s="18">
        <f>Plan!L18*(1-AbsentPct)</f>
        <v>0</v>
      </c>
      <c r="D18" s="4">
        <f>Plan!R18</f>
        <v>0</v>
      </c>
      <c r="E18" s="18">
        <f>C18+D18</f>
        <v>0</v>
      </c>
      <c r="F18" s="4">
        <f>ROUND(E18*ShareA,0)</f>
        <v>0</v>
      </c>
      <c r="G18" s="4">
        <f>ROUND(E18*ShareB,0)</f>
        <v>0</v>
      </c>
      <c r="H18" s="4">
        <f>ROUND(E18,0)-F18-G18</f>
        <v>0</v>
      </c>
    </row>
    <row r="19" spans="1:8">
      <c r="A19" s="16">
        <f>Plan!A19</f>
        <v>0</v>
      </c>
      <c r="B19" s="10">
        <f>Plan!B19</f>
        <v>0</v>
      </c>
      <c r="C19" s="18">
        <f>Plan!L19*(1-AbsentPct)</f>
        <v>0</v>
      </c>
      <c r="D19" s="4">
        <f>Plan!R19</f>
        <v>0</v>
      </c>
      <c r="E19" s="18">
        <f>C19+D19</f>
        <v>0</v>
      </c>
      <c r="F19" s="4">
        <f>ROUND(E19*ShareA,0)</f>
        <v>0</v>
      </c>
      <c r="G19" s="4">
        <f>ROUND(E19*ShareB,0)</f>
        <v>0</v>
      </c>
      <c r="H19" s="4">
        <f>ROUND(E19,0)-F19-G19</f>
        <v>0</v>
      </c>
    </row>
    <row r="20" spans="1:8">
      <c r="A20" s="16">
        <f>Plan!A20</f>
        <v>0</v>
      </c>
      <c r="B20" s="10">
        <f>Plan!B20</f>
        <v>0</v>
      </c>
      <c r="C20" s="18">
        <f>Plan!L20*(1-AbsentPct)</f>
        <v>0</v>
      </c>
      <c r="D20" s="4">
        <f>Plan!R20</f>
        <v>0</v>
      </c>
      <c r="E20" s="18">
        <f>C20+D20</f>
        <v>0</v>
      </c>
      <c r="F20" s="4">
        <f>ROUND(E20*ShareA,0)</f>
        <v>0</v>
      </c>
      <c r="G20" s="4">
        <f>ROUND(E20*ShareB,0)</f>
        <v>0</v>
      </c>
      <c r="H20" s="4">
        <f>ROUND(E20,0)-F20-G20</f>
        <v>0</v>
      </c>
    </row>
    <row r="21" spans="1:8">
      <c r="A21" s="16">
        <f>Plan!A21</f>
        <v>0</v>
      </c>
      <c r="B21" s="10">
        <f>Plan!B21</f>
        <v>0</v>
      </c>
      <c r="C21" s="18">
        <f>Plan!L21*(1-AbsentPct)</f>
        <v>0</v>
      </c>
      <c r="D21" s="4">
        <f>Plan!R21</f>
        <v>0</v>
      </c>
      <c r="E21" s="18">
        <f>C21+D21</f>
        <v>0</v>
      </c>
      <c r="F21" s="4">
        <f>ROUND(E21*ShareA,0)</f>
        <v>0</v>
      </c>
      <c r="G21" s="4">
        <f>ROUND(E21*ShareB,0)</f>
        <v>0</v>
      </c>
      <c r="H21" s="4">
        <f>ROUND(E21,0)-F21-G21</f>
        <v>0</v>
      </c>
    </row>
    <row r="22" spans="1:8">
      <c r="A22" s="16">
        <f>Plan!A22</f>
        <v>0</v>
      </c>
      <c r="B22" s="10">
        <f>Plan!B22</f>
        <v>0</v>
      </c>
      <c r="C22" s="18">
        <f>Plan!L22*(1-AbsentPct)</f>
        <v>0</v>
      </c>
      <c r="D22" s="4">
        <f>Plan!R22</f>
        <v>0</v>
      </c>
      <c r="E22" s="18">
        <f>C22+D22</f>
        <v>0</v>
      </c>
      <c r="F22" s="4">
        <f>ROUND(E22*ShareA,0)</f>
        <v>0</v>
      </c>
      <c r="G22" s="4">
        <f>ROUND(E22*ShareB,0)</f>
        <v>0</v>
      </c>
      <c r="H22" s="4">
        <f>ROUND(E22,0)-F22-G22</f>
        <v>0</v>
      </c>
    </row>
    <row r="23" spans="1:8">
      <c r="A23" s="16">
        <f>Plan!A23</f>
        <v>0</v>
      </c>
      <c r="B23" s="10">
        <f>Plan!B23</f>
        <v>0</v>
      </c>
      <c r="C23" s="18">
        <f>Plan!L23*(1-AbsentPct)</f>
        <v>0</v>
      </c>
      <c r="D23" s="4">
        <f>Plan!R23</f>
        <v>0</v>
      </c>
      <c r="E23" s="18">
        <f>C23+D23</f>
        <v>0</v>
      </c>
      <c r="F23" s="4">
        <f>ROUND(E23*ShareA,0)</f>
        <v>0</v>
      </c>
      <c r="G23" s="4">
        <f>ROUND(E23*ShareB,0)</f>
        <v>0</v>
      </c>
      <c r="H23" s="4">
        <f>ROUND(E23,0)-F23-G23</f>
        <v>0</v>
      </c>
    </row>
    <row r="24" spans="1:8">
      <c r="A24" s="16">
        <f>Plan!A24</f>
        <v>0</v>
      </c>
      <c r="B24" s="10">
        <f>Plan!B24</f>
        <v>0</v>
      </c>
      <c r="C24" s="18">
        <f>Plan!L24*(1-AbsentPct)</f>
        <v>0</v>
      </c>
      <c r="D24" s="4">
        <f>Plan!R24</f>
        <v>0</v>
      </c>
      <c r="E24" s="18">
        <f>C24+D24</f>
        <v>0</v>
      </c>
      <c r="F24" s="4">
        <f>ROUND(E24*ShareA,0)</f>
        <v>0</v>
      </c>
      <c r="G24" s="4">
        <f>ROUND(E24*ShareB,0)</f>
        <v>0</v>
      </c>
      <c r="H24" s="4">
        <f>ROUND(E24,0)-F24-G24</f>
        <v>0</v>
      </c>
    </row>
    <row r="25" spans="1:8">
      <c r="A25" s="16">
        <f>Plan!A25</f>
        <v>0</v>
      </c>
      <c r="B25" s="10">
        <f>Plan!B25</f>
        <v>0</v>
      </c>
      <c r="C25" s="18">
        <f>Plan!L25*(1-AbsentPct)</f>
        <v>0</v>
      </c>
      <c r="D25" s="4">
        <f>Plan!R25</f>
        <v>0</v>
      </c>
      <c r="E25" s="18">
        <f>C25+D25</f>
        <v>0</v>
      </c>
      <c r="F25" s="4">
        <f>ROUND(E25*ShareA,0)</f>
        <v>0</v>
      </c>
      <c r="G25" s="4">
        <f>ROUND(E25*ShareB,0)</f>
        <v>0</v>
      </c>
      <c r="H25" s="4">
        <f>ROUND(E25,0)-F25-G25</f>
        <v>0</v>
      </c>
    </row>
    <row r="26" spans="1:8">
      <c r="A26" s="16">
        <f>Plan!A26</f>
        <v>0</v>
      </c>
      <c r="B26" s="10">
        <f>Plan!B26</f>
        <v>0</v>
      </c>
      <c r="C26" s="18">
        <f>Plan!L26*(1-AbsentPct)</f>
        <v>0</v>
      </c>
      <c r="D26" s="4">
        <f>Plan!R26</f>
        <v>0</v>
      </c>
      <c r="E26" s="18">
        <f>C26+D26</f>
        <v>0</v>
      </c>
      <c r="F26" s="4">
        <f>ROUND(E26*ShareA,0)</f>
        <v>0</v>
      </c>
      <c r="G26" s="4">
        <f>ROUND(E26*ShareB,0)</f>
        <v>0</v>
      </c>
      <c r="H26" s="4">
        <f>ROUND(E26,0)-F26-G26</f>
        <v>0</v>
      </c>
    </row>
    <row r="27" spans="1:8">
      <c r="A27" s="16">
        <f>Plan!A27</f>
        <v>0</v>
      </c>
      <c r="B27" s="10">
        <f>Plan!B27</f>
        <v>0</v>
      </c>
      <c r="C27" s="18">
        <f>Plan!L27*(1-AbsentPct)</f>
        <v>0</v>
      </c>
      <c r="D27" s="4">
        <f>Plan!R27</f>
        <v>0</v>
      </c>
      <c r="E27" s="18">
        <f>C27+D27</f>
        <v>0</v>
      </c>
      <c r="F27" s="4">
        <f>ROUND(E27*ShareA,0)</f>
        <v>0</v>
      </c>
      <c r="G27" s="4">
        <f>ROUND(E27*ShareB,0)</f>
        <v>0</v>
      </c>
      <c r="H27" s="4">
        <f>ROUND(E27,0)-F27-G27</f>
        <v>0</v>
      </c>
    </row>
    <row r="28" spans="1:8">
      <c r="A28" s="16">
        <f>Plan!A28</f>
        <v>0</v>
      </c>
      <c r="B28" s="10">
        <f>Plan!B28</f>
        <v>0</v>
      </c>
      <c r="C28" s="18">
        <f>Plan!L28*(1-AbsentPct)</f>
        <v>0</v>
      </c>
      <c r="D28" s="4">
        <f>Plan!R28</f>
        <v>0</v>
      </c>
      <c r="E28" s="18">
        <f>C28+D28</f>
        <v>0</v>
      </c>
      <c r="F28" s="4">
        <f>ROUND(E28*ShareA,0)</f>
        <v>0</v>
      </c>
      <c r="G28" s="4">
        <f>ROUND(E28*ShareB,0)</f>
        <v>0</v>
      </c>
      <c r="H28" s="4">
        <f>ROUND(E28,0)-F28-G28</f>
        <v>0</v>
      </c>
    </row>
    <row r="29" spans="1:8">
      <c r="A29" s="16">
        <f>Plan!A29</f>
        <v>0</v>
      </c>
      <c r="B29" s="10">
        <f>Plan!B29</f>
        <v>0</v>
      </c>
      <c r="C29" s="18">
        <f>Plan!L29*(1-AbsentPct)</f>
        <v>0</v>
      </c>
      <c r="D29" s="4">
        <f>Plan!R29</f>
        <v>0</v>
      </c>
      <c r="E29" s="18">
        <f>C29+D29</f>
        <v>0</v>
      </c>
      <c r="F29" s="4">
        <f>ROUND(E29*ShareA,0)</f>
        <v>0</v>
      </c>
      <c r="G29" s="4">
        <f>ROUND(E29*ShareB,0)</f>
        <v>0</v>
      </c>
      <c r="H29" s="4">
        <f>ROUND(E29,0)-F29-G29</f>
        <v>0</v>
      </c>
    </row>
    <row r="30" spans="1:8">
      <c r="A30" s="16">
        <f>Plan!A30</f>
        <v>0</v>
      </c>
      <c r="B30" s="10">
        <f>Plan!B30</f>
        <v>0</v>
      </c>
      <c r="C30" s="18">
        <f>Plan!L30*(1-AbsentPct)</f>
        <v>0</v>
      </c>
      <c r="D30" s="4">
        <f>Plan!R30</f>
        <v>0</v>
      </c>
      <c r="E30" s="18">
        <f>C30+D30</f>
        <v>0</v>
      </c>
      <c r="F30" s="4">
        <f>ROUND(E30*ShareA,0)</f>
        <v>0</v>
      </c>
      <c r="G30" s="4">
        <f>ROUND(E30*ShareB,0)</f>
        <v>0</v>
      </c>
      <c r="H30" s="4">
        <f>ROUND(E30,0)-F30-G30</f>
        <v>0</v>
      </c>
    </row>
    <row r="31" spans="1:8">
      <c r="A31" s="16">
        <f>Plan!A31</f>
        <v>0</v>
      </c>
      <c r="B31" s="10">
        <f>Plan!B31</f>
        <v>0</v>
      </c>
      <c r="C31" s="18">
        <f>Plan!L31*(1-AbsentPct)</f>
        <v>0</v>
      </c>
      <c r="D31" s="4">
        <f>Plan!R31</f>
        <v>0</v>
      </c>
      <c r="E31" s="18">
        <f>C31+D31</f>
        <v>0</v>
      </c>
      <c r="F31" s="4">
        <f>ROUND(E31*ShareA,0)</f>
        <v>0</v>
      </c>
      <c r="G31" s="4">
        <f>ROUND(E31*ShareB,0)</f>
        <v>0</v>
      </c>
      <c r="H31" s="4">
        <f>ROUND(E31,0)-F31-G31</f>
        <v>0</v>
      </c>
    </row>
    <row r="32" spans="1:8">
      <c r="A32" s="16">
        <f>Plan!A32</f>
        <v>0</v>
      </c>
      <c r="B32" s="10">
        <f>Plan!B32</f>
        <v>0</v>
      </c>
      <c r="C32" s="18">
        <f>Plan!L32*(1-AbsentPct)</f>
        <v>0</v>
      </c>
      <c r="D32" s="4">
        <f>Plan!R32</f>
        <v>0</v>
      </c>
      <c r="E32" s="18">
        <f>C32+D32</f>
        <v>0</v>
      </c>
      <c r="F32" s="4">
        <f>ROUND(E32*ShareA,0)</f>
        <v>0</v>
      </c>
      <c r="G32" s="4">
        <f>ROUND(E32*ShareB,0)</f>
        <v>0</v>
      </c>
      <c r="H32" s="4">
        <f>ROUND(E32,0)-F32-G32</f>
        <v>0</v>
      </c>
    </row>
    <row r="33" spans="1:8">
      <c r="A33" s="16">
        <f>Plan!A33</f>
        <v>0</v>
      </c>
      <c r="B33" s="10">
        <f>Plan!B33</f>
        <v>0</v>
      </c>
      <c r="C33" s="18">
        <f>Plan!L33*(1-AbsentPct)</f>
        <v>0</v>
      </c>
      <c r="D33" s="4">
        <f>Plan!R33</f>
        <v>0</v>
      </c>
      <c r="E33" s="18">
        <f>C33+D33</f>
        <v>0</v>
      </c>
      <c r="F33" s="4">
        <f>ROUND(E33*ShareA,0)</f>
        <v>0</v>
      </c>
      <c r="G33" s="4">
        <f>ROUND(E33*ShareB,0)</f>
        <v>0</v>
      </c>
      <c r="H33" s="4">
        <f>ROUND(E33,0)-F33-G33</f>
        <v>0</v>
      </c>
    </row>
    <row r="34" spans="1:8">
      <c r="A34" s="16">
        <f>Plan!A34</f>
        <v>0</v>
      </c>
      <c r="B34" s="10">
        <f>Plan!B34</f>
        <v>0</v>
      </c>
      <c r="C34" s="18">
        <f>Plan!L34*(1-AbsentPct)</f>
        <v>0</v>
      </c>
      <c r="D34" s="4">
        <f>Plan!R34</f>
        <v>0</v>
      </c>
      <c r="E34" s="18">
        <f>C34+D34</f>
        <v>0</v>
      </c>
      <c r="F34" s="4">
        <f>ROUND(E34*ShareA,0)</f>
        <v>0</v>
      </c>
      <c r="G34" s="4">
        <f>ROUND(E34*ShareB,0)</f>
        <v>0</v>
      </c>
      <c r="H34" s="4">
        <f>ROUND(E34,0)-F34-G34</f>
        <v>0</v>
      </c>
    </row>
    <row r="35" spans="1:8">
      <c r="A35" s="16">
        <f>Plan!A35</f>
        <v>0</v>
      </c>
      <c r="B35" s="10">
        <f>Plan!B35</f>
        <v>0</v>
      </c>
      <c r="C35" s="18">
        <f>Plan!L35*(1-AbsentPct)</f>
        <v>0</v>
      </c>
      <c r="D35" s="4">
        <f>Plan!R35</f>
        <v>0</v>
      </c>
      <c r="E35" s="18">
        <f>C35+D35</f>
        <v>0</v>
      </c>
      <c r="F35" s="4">
        <f>ROUND(E35*ShareA,0)</f>
        <v>0</v>
      </c>
      <c r="G35" s="4">
        <f>ROUND(E35*ShareB,0)</f>
        <v>0</v>
      </c>
      <c r="H35" s="4">
        <f>ROUND(E35,0)-F35-G35</f>
        <v>0</v>
      </c>
    </row>
    <row r="36" spans="1:8">
      <c r="A36" s="16">
        <f>Plan!A36</f>
        <v>0</v>
      </c>
      <c r="B36" s="10">
        <f>Plan!B36</f>
        <v>0</v>
      </c>
      <c r="C36" s="18">
        <f>Plan!L36*(1-AbsentPct)</f>
        <v>0</v>
      </c>
      <c r="D36" s="4">
        <f>Plan!R36</f>
        <v>0</v>
      </c>
      <c r="E36" s="18">
        <f>C36+D36</f>
        <v>0</v>
      </c>
      <c r="F36" s="4">
        <f>ROUND(E36*ShareA,0)</f>
        <v>0</v>
      </c>
      <c r="G36" s="4">
        <f>ROUND(E36*ShareB,0)</f>
        <v>0</v>
      </c>
      <c r="H36" s="4">
        <f>ROUND(E36,0)-F36-G36</f>
        <v>0</v>
      </c>
    </row>
    <row r="37" spans="1:8">
      <c r="A37" s="16">
        <f>Plan!A37</f>
        <v>0</v>
      </c>
      <c r="B37" s="10">
        <f>Plan!B37</f>
        <v>0</v>
      </c>
      <c r="C37" s="18">
        <f>Plan!L37*(1-AbsentPct)</f>
        <v>0</v>
      </c>
      <c r="D37" s="4">
        <f>Plan!R37</f>
        <v>0</v>
      </c>
      <c r="E37" s="18">
        <f>C37+D37</f>
        <v>0</v>
      </c>
      <c r="F37" s="4">
        <f>ROUND(E37*ShareA,0)</f>
        <v>0</v>
      </c>
      <c r="G37" s="4">
        <f>ROUND(E37*ShareB,0)</f>
        <v>0</v>
      </c>
      <c r="H37" s="4">
        <f>ROUND(E37,0)-F37-G37</f>
        <v>0</v>
      </c>
    </row>
    <row r="38" spans="1:8">
      <c r="A38" s="16">
        <f>Plan!A38</f>
        <v>0</v>
      </c>
      <c r="B38" s="10">
        <f>Plan!B38</f>
        <v>0</v>
      </c>
      <c r="C38" s="18">
        <f>Plan!L38*(1-AbsentPct)</f>
        <v>0</v>
      </c>
      <c r="D38" s="4">
        <f>Plan!R38</f>
        <v>0</v>
      </c>
      <c r="E38" s="18">
        <f>C38+D38</f>
        <v>0</v>
      </c>
      <c r="F38" s="4">
        <f>ROUND(E38*ShareA,0)</f>
        <v>0</v>
      </c>
      <c r="G38" s="4">
        <f>ROUND(E38*ShareB,0)</f>
        <v>0</v>
      </c>
      <c r="H38" s="4">
        <f>ROUND(E38,0)-F38-G38</f>
        <v>0</v>
      </c>
    </row>
    <row r="39" spans="1:8">
      <c r="A39" s="16">
        <f>Plan!A39</f>
        <v>0</v>
      </c>
      <c r="B39" s="10">
        <f>Plan!B39</f>
        <v>0</v>
      </c>
      <c r="C39" s="18">
        <f>Plan!L39*(1-AbsentPct)</f>
        <v>0</v>
      </c>
      <c r="D39" s="4">
        <f>Plan!R39</f>
        <v>0</v>
      </c>
      <c r="E39" s="18">
        <f>C39+D39</f>
        <v>0</v>
      </c>
      <c r="F39" s="4">
        <f>ROUND(E39*ShareA,0)</f>
        <v>0</v>
      </c>
      <c r="G39" s="4">
        <f>ROUND(E39*ShareB,0)</f>
        <v>0</v>
      </c>
      <c r="H39" s="4">
        <f>ROUND(E39,0)-F39-G39</f>
        <v>0</v>
      </c>
    </row>
    <row r="40" spans="1:8">
      <c r="A40" s="16">
        <f>Plan!A40</f>
        <v>0</v>
      </c>
      <c r="B40" s="10">
        <f>Plan!B40</f>
        <v>0</v>
      </c>
      <c r="C40" s="18">
        <f>Plan!L40*(1-AbsentPct)</f>
        <v>0</v>
      </c>
      <c r="D40" s="4">
        <f>Plan!R40</f>
        <v>0</v>
      </c>
      <c r="E40" s="18">
        <f>C40+D40</f>
        <v>0</v>
      </c>
      <c r="F40" s="4">
        <f>ROUND(E40*ShareA,0)</f>
        <v>0</v>
      </c>
      <c r="G40" s="4">
        <f>ROUND(E40*ShareB,0)</f>
        <v>0</v>
      </c>
      <c r="H40" s="4">
        <f>ROUND(E40,0)-F40-G40</f>
        <v>0</v>
      </c>
    </row>
    <row r="41" spans="1:8">
      <c r="A41" s="16">
        <f>Plan!A41</f>
        <v>0</v>
      </c>
      <c r="B41" s="10">
        <f>Plan!B41</f>
        <v>0</v>
      </c>
      <c r="C41" s="18">
        <f>Plan!L41*(1-AbsentPct)</f>
        <v>0</v>
      </c>
      <c r="D41" s="4">
        <f>Plan!R41</f>
        <v>0</v>
      </c>
      <c r="E41" s="18">
        <f>C41+D41</f>
        <v>0</v>
      </c>
      <c r="F41" s="4">
        <f>ROUND(E41*ShareA,0)</f>
        <v>0</v>
      </c>
      <c r="G41" s="4">
        <f>ROUND(E41*ShareB,0)</f>
        <v>0</v>
      </c>
      <c r="H41" s="4">
        <f>ROUND(E41,0)-F41-G41</f>
        <v>0</v>
      </c>
    </row>
    <row r="42" spans="1:8">
      <c r="A42" s="16">
        <f>Plan!A42</f>
        <v>0</v>
      </c>
      <c r="B42" s="10">
        <f>Plan!B42</f>
        <v>0</v>
      </c>
      <c r="C42" s="18">
        <f>Plan!L42*(1-AbsentPct)</f>
        <v>0</v>
      </c>
      <c r="D42" s="4">
        <f>Plan!R42</f>
        <v>0</v>
      </c>
      <c r="E42" s="18">
        <f>C42+D42</f>
        <v>0</v>
      </c>
      <c r="F42" s="4">
        <f>ROUND(E42*ShareA,0)</f>
        <v>0</v>
      </c>
      <c r="G42" s="4">
        <f>ROUND(E42*ShareB,0)</f>
        <v>0</v>
      </c>
      <c r="H42" s="4">
        <f>ROUND(E42,0)-F42-G42</f>
        <v>0</v>
      </c>
    </row>
    <row r="43" spans="1:8">
      <c r="A43" s="16">
        <f>Plan!A43</f>
        <v>0</v>
      </c>
      <c r="B43" s="10">
        <f>Plan!B43</f>
        <v>0</v>
      </c>
      <c r="C43" s="18">
        <f>Plan!L43*(1-AbsentPct)</f>
        <v>0</v>
      </c>
      <c r="D43" s="4">
        <f>Plan!R43</f>
        <v>0</v>
      </c>
      <c r="E43" s="18">
        <f>C43+D43</f>
        <v>0</v>
      </c>
      <c r="F43" s="4">
        <f>ROUND(E43*ShareA,0)</f>
        <v>0</v>
      </c>
      <c r="G43" s="4">
        <f>ROUND(E43*ShareB,0)</f>
        <v>0</v>
      </c>
      <c r="H43" s="4">
        <f>ROUND(E43,0)-F43-G43</f>
        <v>0</v>
      </c>
    </row>
    <row r="44" spans="1:8">
      <c r="A44" s="16">
        <f>Plan!A44</f>
        <v>0</v>
      </c>
      <c r="B44" s="10">
        <f>Plan!B44</f>
        <v>0</v>
      </c>
      <c r="C44" s="18">
        <f>Plan!L44*(1-AbsentPct)</f>
        <v>0</v>
      </c>
      <c r="D44" s="4">
        <f>Plan!R44</f>
        <v>0</v>
      </c>
      <c r="E44" s="18">
        <f>C44+D44</f>
        <v>0</v>
      </c>
      <c r="F44" s="4">
        <f>ROUND(E44*ShareA,0)</f>
        <v>0</v>
      </c>
      <c r="G44" s="4">
        <f>ROUND(E44*ShareB,0)</f>
        <v>0</v>
      </c>
      <c r="H44" s="4">
        <f>ROUND(E44,0)-F44-G44</f>
        <v>0</v>
      </c>
    </row>
    <row r="45" spans="1:8">
      <c r="A45" s="16">
        <f>Plan!A45</f>
        <v>0</v>
      </c>
      <c r="B45" s="10">
        <f>Plan!B45</f>
        <v>0</v>
      </c>
      <c r="C45" s="18">
        <f>Plan!L45*(1-AbsentPct)</f>
        <v>0</v>
      </c>
      <c r="D45" s="4">
        <f>Plan!R45</f>
        <v>0</v>
      </c>
      <c r="E45" s="18">
        <f>C45+D45</f>
        <v>0</v>
      </c>
      <c r="F45" s="4">
        <f>ROUND(E45*ShareA,0)</f>
        <v>0</v>
      </c>
      <c r="G45" s="4">
        <f>ROUND(E45*ShareB,0)</f>
        <v>0</v>
      </c>
      <c r="H45" s="4">
        <f>ROUND(E45,0)-F45-G45</f>
        <v>0</v>
      </c>
    </row>
    <row r="46" spans="1:8">
      <c r="A46" s="16">
        <f>Plan!A46</f>
        <v>0</v>
      </c>
      <c r="B46" s="10">
        <f>Plan!B46</f>
        <v>0</v>
      </c>
      <c r="C46" s="18">
        <f>Plan!L46*(1-AbsentPct)</f>
        <v>0</v>
      </c>
      <c r="D46" s="4">
        <f>Plan!R46</f>
        <v>0</v>
      </c>
      <c r="E46" s="18">
        <f>C46+D46</f>
        <v>0</v>
      </c>
      <c r="F46" s="4">
        <f>ROUND(E46*ShareA,0)</f>
        <v>0</v>
      </c>
      <c r="G46" s="4">
        <f>ROUND(E46*ShareB,0)</f>
        <v>0</v>
      </c>
      <c r="H46" s="4">
        <f>ROUND(E46,0)-F46-G46</f>
        <v>0</v>
      </c>
    </row>
    <row r="47" spans="1:8">
      <c r="A47" s="16">
        <f>Plan!A47</f>
        <v>0</v>
      </c>
      <c r="B47" s="10">
        <f>Plan!B47</f>
        <v>0</v>
      </c>
      <c r="C47" s="18">
        <f>Plan!L47*(1-AbsentPct)</f>
        <v>0</v>
      </c>
      <c r="D47" s="4">
        <f>Plan!R47</f>
        <v>0</v>
      </c>
      <c r="E47" s="18">
        <f>C47+D47</f>
        <v>0</v>
      </c>
      <c r="F47" s="4">
        <f>ROUND(E47*ShareA,0)</f>
        <v>0</v>
      </c>
      <c r="G47" s="4">
        <f>ROUND(E47*ShareB,0)</f>
        <v>0</v>
      </c>
      <c r="H47" s="4">
        <f>ROUND(E47,0)-F47-G47</f>
        <v>0</v>
      </c>
    </row>
    <row r="48" spans="1:8">
      <c r="A48" s="16">
        <f>Plan!A48</f>
        <v>0</v>
      </c>
      <c r="B48" s="10">
        <f>Plan!B48</f>
        <v>0</v>
      </c>
      <c r="C48" s="18">
        <f>Plan!L48*(1-AbsentPct)</f>
        <v>0</v>
      </c>
      <c r="D48" s="4">
        <f>Plan!R48</f>
        <v>0</v>
      </c>
      <c r="E48" s="18">
        <f>C48+D48</f>
        <v>0</v>
      </c>
      <c r="F48" s="4">
        <f>ROUND(E48*ShareA,0)</f>
        <v>0</v>
      </c>
      <c r="G48" s="4">
        <f>ROUND(E48*ShareB,0)</f>
        <v>0</v>
      </c>
      <c r="H48" s="4">
        <f>ROUND(E48,0)-F48-G48</f>
        <v>0</v>
      </c>
    </row>
    <row r="49" spans="1:8">
      <c r="A49" s="16">
        <f>Plan!A49</f>
        <v>0</v>
      </c>
      <c r="B49" s="10">
        <f>Plan!B49</f>
        <v>0</v>
      </c>
      <c r="C49" s="18">
        <f>Plan!L49*(1-AbsentPct)</f>
        <v>0</v>
      </c>
      <c r="D49" s="4">
        <f>Plan!R49</f>
        <v>0</v>
      </c>
      <c r="E49" s="18">
        <f>C49+D49</f>
        <v>0</v>
      </c>
      <c r="F49" s="4">
        <f>ROUND(E49*ShareA,0)</f>
        <v>0</v>
      </c>
      <c r="G49" s="4">
        <f>ROUND(E49*ShareB,0)</f>
        <v>0</v>
      </c>
      <c r="H49" s="4">
        <f>ROUND(E49,0)-F49-G49</f>
        <v>0</v>
      </c>
    </row>
    <row r="50" spans="1:8">
      <c r="A50" s="16">
        <f>Plan!A50</f>
        <v>0</v>
      </c>
      <c r="B50" s="10">
        <f>Plan!B50</f>
        <v>0</v>
      </c>
      <c r="C50" s="18">
        <f>Plan!L50*(1-AbsentPct)</f>
        <v>0</v>
      </c>
      <c r="D50" s="4">
        <f>Plan!R50</f>
        <v>0</v>
      </c>
      <c r="E50" s="18">
        <f>C50+D50</f>
        <v>0</v>
      </c>
      <c r="F50" s="4">
        <f>ROUND(E50*ShareA,0)</f>
        <v>0</v>
      </c>
      <c r="G50" s="4">
        <f>ROUND(E50*ShareB,0)</f>
        <v>0</v>
      </c>
      <c r="H50" s="4">
        <f>ROUND(E50,0)-F50-G50</f>
        <v>0</v>
      </c>
    </row>
    <row r="51" spans="1:8">
      <c r="A51" s="16">
        <f>Plan!A51</f>
        <v>0</v>
      </c>
      <c r="B51" s="10">
        <f>Plan!B51</f>
        <v>0</v>
      </c>
      <c r="C51" s="18">
        <f>Plan!L51*(1-AbsentPct)</f>
        <v>0</v>
      </c>
      <c r="D51" s="4">
        <f>Plan!R51</f>
        <v>0</v>
      </c>
      <c r="E51" s="18">
        <f>C51+D51</f>
        <v>0</v>
      </c>
      <c r="F51" s="4">
        <f>ROUND(E51*ShareA,0)</f>
        <v>0</v>
      </c>
      <c r="G51" s="4">
        <f>ROUND(E51*ShareB,0)</f>
        <v>0</v>
      </c>
      <c r="H51" s="4">
        <f>ROUND(E51,0)-F51-G51</f>
        <v>0</v>
      </c>
    </row>
    <row r="52" spans="1:8">
      <c r="A52" s="16">
        <f>Plan!A52</f>
        <v>0</v>
      </c>
      <c r="B52" s="10">
        <f>Plan!B52</f>
        <v>0</v>
      </c>
      <c r="C52" s="18">
        <f>Plan!L52*(1-AbsentPct)</f>
        <v>0</v>
      </c>
      <c r="D52" s="4">
        <f>Plan!R52</f>
        <v>0</v>
      </c>
      <c r="E52" s="18">
        <f>C52+D52</f>
        <v>0</v>
      </c>
      <c r="F52" s="4">
        <f>ROUND(E52*ShareA,0)</f>
        <v>0</v>
      </c>
      <c r="G52" s="4">
        <f>ROUND(E52*ShareB,0)</f>
        <v>0</v>
      </c>
      <c r="H52" s="4">
        <f>ROUND(E52,0)-F52-G52</f>
        <v>0</v>
      </c>
    </row>
    <row r="53" spans="1:8">
      <c r="A53" s="16">
        <f>Plan!A53</f>
        <v>0</v>
      </c>
      <c r="B53" s="10">
        <f>Plan!B53</f>
        <v>0</v>
      </c>
      <c r="C53" s="18">
        <f>Plan!L53*(1-AbsentPct)</f>
        <v>0</v>
      </c>
      <c r="D53" s="4">
        <f>Plan!R53</f>
        <v>0</v>
      </c>
      <c r="E53" s="18">
        <f>C53+D53</f>
        <v>0</v>
      </c>
      <c r="F53" s="4">
        <f>ROUND(E53*ShareA,0)</f>
        <v>0</v>
      </c>
      <c r="G53" s="4">
        <f>ROUND(E53*ShareB,0)</f>
        <v>0</v>
      </c>
      <c r="H53" s="4">
        <f>ROUND(E53,0)-F53-G53</f>
        <v>0</v>
      </c>
    </row>
    <row r="54" spans="1:8">
      <c r="A54" s="16">
        <f>Plan!A54</f>
        <v>0</v>
      </c>
      <c r="B54" s="10">
        <f>Plan!B54</f>
        <v>0</v>
      </c>
      <c r="C54" s="18">
        <f>Plan!L54*(1-AbsentPct)</f>
        <v>0</v>
      </c>
      <c r="D54" s="4">
        <f>Plan!R54</f>
        <v>0</v>
      </c>
      <c r="E54" s="18">
        <f>C54+D54</f>
        <v>0</v>
      </c>
      <c r="F54" s="4">
        <f>ROUND(E54*ShareA,0)</f>
        <v>0</v>
      </c>
      <c r="G54" s="4">
        <f>ROUND(E54*ShareB,0)</f>
        <v>0</v>
      </c>
      <c r="H54" s="4">
        <f>ROUND(E54,0)-F54-G54</f>
        <v>0</v>
      </c>
    </row>
    <row r="55" spans="1:8">
      <c r="A55" s="16">
        <f>Plan!A55</f>
        <v>0</v>
      </c>
      <c r="B55" s="10">
        <f>Plan!B55</f>
        <v>0</v>
      </c>
      <c r="C55" s="18">
        <f>Plan!L55*(1-AbsentPct)</f>
        <v>0</v>
      </c>
      <c r="D55" s="4">
        <f>Plan!R55</f>
        <v>0</v>
      </c>
      <c r="E55" s="18">
        <f>C55+D55</f>
        <v>0</v>
      </c>
      <c r="F55" s="4">
        <f>ROUND(E55*ShareA,0)</f>
        <v>0</v>
      </c>
      <c r="G55" s="4">
        <f>ROUND(E55*ShareB,0)</f>
        <v>0</v>
      </c>
      <c r="H55" s="4">
        <f>ROUND(E55,0)-F55-G55</f>
        <v>0</v>
      </c>
    </row>
    <row r="56" spans="1:8">
      <c r="A56" s="16">
        <f>Plan!A56</f>
        <v>0</v>
      </c>
      <c r="B56" s="10">
        <f>Plan!B56</f>
        <v>0</v>
      </c>
      <c r="C56" s="18">
        <f>Plan!L56*(1-AbsentPct)</f>
        <v>0</v>
      </c>
      <c r="D56" s="4">
        <f>Plan!R56</f>
        <v>0</v>
      </c>
      <c r="E56" s="18">
        <f>C56+D56</f>
        <v>0</v>
      </c>
      <c r="F56" s="4">
        <f>ROUND(E56*ShareA,0)</f>
        <v>0</v>
      </c>
      <c r="G56" s="4">
        <f>ROUND(E56*ShareB,0)</f>
        <v>0</v>
      </c>
      <c r="H56" s="4">
        <f>ROUND(E56,0)-F56-G56</f>
        <v>0</v>
      </c>
    </row>
    <row r="57" spans="1:8">
      <c r="A57" s="16">
        <f>Plan!A57</f>
        <v>0</v>
      </c>
      <c r="B57" s="10">
        <f>Plan!B57</f>
        <v>0</v>
      </c>
      <c r="C57" s="18">
        <f>Plan!L57*(1-AbsentPct)</f>
        <v>0</v>
      </c>
      <c r="D57" s="4">
        <f>Plan!R57</f>
        <v>0</v>
      </c>
      <c r="E57" s="18">
        <f>C57+D57</f>
        <v>0</v>
      </c>
      <c r="F57" s="4">
        <f>ROUND(E57*ShareA,0)</f>
        <v>0</v>
      </c>
      <c r="G57" s="4">
        <f>ROUND(E57*ShareB,0)</f>
        <v>0</v>
      </c>
      <c r="H57" s="4">
        <f>ROUND(E57,0)-F57-G57</f>
        <v>0</v>
      </c>
    </row>
    <row r="58" spans="1:8">
      <c r="A58" s="16">
        <f>Plan!A58</f>
        <v>0</v>
      </c>
      <c r="B58" s="10">
        <f>Plan!B58</f>
        <v>0</v>
      </c>
      <c r="C58" s="18">
        <f>Plan!L58*(1-AbsentPct)</f>
        <v>0</v>
      </c>
      <c r="D58" s="4">
        <f>Plan!R58</f>
        <v>0</v>
      </c>
      <c r="E58" s="18">
        <f>C58+D58</f>
        <v>0</v>
      </c>
      <c r="F58" s="4">
        <f>ROUND(E58*ShareA,0)</f>
        <v>0</v>
      </c>
      <c r="G58" s="4">
        <f>ROUND(E58*ShareB,0)</f>
        <v>0</v>
      </c>
      <c r="H58" s="4">
        <f>ROUND(E58,0)-F58-G58</f>
        <v>0</v>
      </c>
    </row>
    <row r="59" spans="1:8">
      <c r="A59" s="16">
        <f>Plan!A59</f>
        <v>0</v>
      </c>
      <c r="B59" s="10">
        <f>Plan!B59</f>
        <v>0</v>
      </c>
      <c r="C59" s="18">
        <f>Plan!L59*(1-AbsentPct)</f>
        <v>0</v>
      </c>
      <c r="D59" s="4">
        <f>Plan!R59</f>
        <v>0</v>
      </c>
      <c r="E59" s="18">
        <f>C59+D59</f>
        <v>0</v>
      </c>
      <c r="F59" s="4">
        <f>ROUND(E59*ShareA,0)</f>
        <v>0</v>
      </c>
      <c r="G59" s="4">
        <f>ROUND(E59*ShareB,0)</f>
        <v>0</v>
      </c>
      <c r="H59" s="4">
        <f>ROUND(E59,0)-F59-G59</f>
        <v>0</v>
      </c>
    </row>
    <row r="60" spans="1:8">
      <c r="A60" s="16">
        <f>Plan!A60</f>
        <v>0</v>
      </c>
      <c r="B60" s="10">
        <f>Plan!B60</f>
        <v>0</v>
      </c>
      <c r="C60" s="18">
        <f>Plan!L60*(1-AbsentPct)</f>
        <v>0</v>
      </c>
      <c r="D60" s="4">
        <f>Plan!R60</f>
        <v>0</v>
      </c>
      <c r="E60" s="18">
        <f>C60+D60</f>
        <v>0</v>
      </c>
      <c r="F60" s="4">
        <f>ROUND(E60*ShareA,0)</f>
        <v>0</v>
      </c>
      <c r="G60" s="4">
        <f>ROUND(E60*ShareB,0)</f>
        <v>0</v>
      </c>
      <c r="H60" s="4">
        <f>ROUND(E60,0)-F60-G60</f>
        <v>0</v>
      </c>
    </row>
  </sheetData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2303C"/>
    <pageSetUpPr fitToPage="1"/>
  </sheetPr>
  <dimension ref="A1:J12"/>
  <sheetViews>
    <sheetView showGridLines="0" workbookViewId="0"/>
  </sheetViews>
  <sheetFormatPr defaultRowHeight="15"/>
  <cols>
    <col min="1" max="10" width="14.7109375" customWidth="1"/>
  </cols>
  <sheetData>
    <row r="1" spans="1:10">
      <c r="A1" s="1" t="s">
        <v>103</v>
      </c>
    </row>
    <row r="4" spans="1:10" ht="30" customHeight="1">
      <c r="A4" s="9" t="s">
        <v>72</v>
      </c>
      <c r="B4" s="9" t="s">
        <v>104</v>
      </c>
      <c r="C4" s="9" t="s">
        <v>105</v>
      </c>
      <c r="D4" s="9" t="s">
        <v>106</v>
      </c>
      <c r="E4" s="9" t="s">
        <v>107</v>
      </c>
      <c r="F4" s="9" t="s">
        <v>108</v>
      </c>
      <c r="G4" s="9" t="s">
        <v>84</v>
      </c>
      <c r="H4" s="9" t="s">
        <v>88</v>
      </c>
      <c r="I4" s="9" t="s">
        <v>92</v>
      </c>
      <c r="J4" s="9" t="s">
        <v>93</v>
      </c>
    </row>
    <row r="5" spans="1:10">
      <c r="A5" s="10">
        <v>1</v>
      </c>
      <c r="B5" s="16">
        <f>Plan!$A$5+7*(A5-1)</f>
        <v>0</v>
      </c>
      <c r="C5" s="4">
        <f>SUMIFS(Plan!$E$5:$E$60,Plan!$C$5:$C$60,A5)</f>
        <v>0</v>
      </c>
      <c r="D5" s="18">
        <f>AVERAGEIFS(Plan!$K$5:$K$60,Plan!$C$5:$C$60,A5)</f>
        <v>0</v>
      </c>
      <c r="E5" s="18">
        <f>_xlfn.MAXIFS(Plan!$K$5:$K$60,Plan!$C$5:$C$60,A5)</f>
        <v>0</v>
      </c>
      <c r="F5" s="4">
        <f>_xlfn.MAXIFS(Plan!$R$5:$R$60,Plan!$C$5:$C$60,A5)</f>
        <v>0</v>
      </c>
      <c r="G5" s="4">
        <f>SUMIFS(Plan!$O$5:$O$60,Plan!$C$5:$C$60,A5)</f>
        <v>0</v>
      </c>
      <c r="H5" s="4">
        <f>SUMIFS(Plan!$S$5:$S$60,Plan!$C$5:$C$60,A5)</f>
        <v>0</v>
      </c>
      <c r="I5" s="5">
        <f>SUMIFS(Plan!$W$5:$W$60,Plan!$C$5:$C$60,A5)</f>
        <v>0</v>
      </c>
      <c r="J5" s="6">
        <f>I5/C5</f>
        <v>0</v>
      </c>
    </row>
    <row r="6" spans="1:10">
      <c r="A6" s="10">
        <v>2</v>
      </c>
      <c r="B6" s="16">
        <f>Plan!$A$5+7*(A6-1)</f>
        <v>0</v>
      </c>
      <c r="C6" s="4">
        <f>SUMIFS(Plan!$E$5:$E$60,Plan!$C$5:$C$60,A6)</f>
        <v>0</v>
      </c>
      <c r="D6" s="18">
        <f>AVERAGEIFS(Plan!$K$5:$K$60,Plan!$C$5:$C$60,A6)</f>
        <v>0</v>
      </c>
      <c r="E6" s="18">
        <f>_xlfn.MAXIFS(Plan!$K$5:$K$60,Plan!$C$5:$C$60,A6)</f>
        <v>0</v>
      </c>
      <c r="F6" s="4">
        <f>_xlfn.MAXIFS(Plan!$R$5:$R$60,Plan!$C$5:$C$60,A6)</f>
        <v>0</v>
      </c>
      <c r="G6" s="4">
        <f>SUMIFS(Plan!$O$5:$O$60,Plan!$C$5:$C$60,A6)</f>
        <v>0</v>
      </c>
      <c r="H6" s="4">
        <f>SUMIFS(Plan!$S$5:$S$60,Plan!$C$5:$C$60,A6)</f>
        <v>0</v>
      </c>
      <c r="I6" s="5">
        <f>SUMIFS(Plan!$W$5:$W$60,Plan!$C$5:$C$60,A6)</f>
        <v>0</v>
      </c>
      <c r="J6" s="6">
        <f>I6/C6</f>
        <v>0</v>
      </c>
    </row>
    <row r="7" spans="1:10">
      <c r="A7" s="10">
        <v>3</v>
      </c>
      <c r="B7" s="16">
        <f>Plan!$A$5+7*(A7-1)</f>
        <v>0</v>
      </c>
      <c r="C7" s="4">
        <f>SUMIFS(Plan!$E$5:$E$60,Plan!$C$5:$C$60,A7)</f>
        <v>0</v>
      </c>
      <c r="D7" s="18">
        <f>AVERAGEIFS(Plan!$K$5:$K$60,Plan!$C$5:$C$60,A7)</f>
        <v>0</v>
      </c>
      <c r="E7" s="18">
        <f>_xlfn.MAXIFS(Plan!$K$5:$K$60,Plan!$C$5:$C$60,A7)</f>
        <v>0</v>
      </c>
      <c r="F7" s="4">
        <f>_xlfn.MAXIFS(Plan!$R$5:$R$60,Plan!$C$5:$C$60,A7)</f>
        <v>0</v>
      </c>
      <c r="G7" s="4">
        <f>SUMIFS(Plan!$O$5:$O$60,Plan!$C$5:$C$60,A7)</f>
        <v>0</v>
      </c>
      <c r="H7" s="4">
        <f>SUMIFS(Plan!$S$5:$S$60,Plan!$C$5:$C$60,A7)</f>
        <v>0</v>
      </c>
      <c r="I7" s="5">
        <f>SUMIFS(Plan!$W$5:$W$60,Plan!$C$5:$C$60,A7)</f>
        <v>0</v>
      </c>
      <c r="J7" s="6">
        <f>I7/C7</f>
        <v>0</v>
      </c>
    </row>
    <row r="8" spans="1:10">
      <c r="A8" s="10">
        <v>4</v>
      </c>
      <c r="B8" s="16">
        <f>Plan!$A$5+7*(A8-1)</f>
        <v>0</v>
      </c>
      <c r="C8" s="4">
        <f>SUMIFS(Plan!$E$5:$E$60,Plan!$C$5:$C$60,A8)</f>
        <v>0</v>
      </c>
      <c r="D8" s="18">
        <f>AVERAGEIFS(Plan!$K$5:$K$60,Plan!$C$5:$C$60,A8)</f>
        <v>0</v>
      </c>
      <c r="E8" s="18">
        <f>_xlfn.MAXIFS(Plan!$K$5:$K$60,Plan!$C$5:$C$60,A8)</f>
        <v>0</v>
      </c>
      <c r="F8" s="4">
        <f>_xlfn.MAXIFS(Plan!$R$5:$R$60,Plan!$C$5:$C$60,A8)</f>
        <v>0</v>
      </c>
      <c r="G8" s="4">
        <f>SUMIFS(Plan!$O$5:$O$60,Plan!$C$5:$C$60,A8)</f>
        <v>0</v>
      </c>
      <c r="H8" s="4">
        <f>SUMIFS(Plan!$S$5:$S$60,Plan!$C$5:$C$60,A8)</f>
        <v>0</v>
      </c>
      <c r="I8" s="5">
        <f>SUMIFS(Plan!$W$5:$W$60,Plan!$C$5:$C$60,A8)</f>
        <v>0</v>
      </c>
      <c r="J8" s="6">
        <f>I8/C8</f>
        <v>0</v>
      </c>
    </row>
    <row r="9" spans="1:10">
      <c r="A9" s="10">
        <v>5</v>
      </c>
      <c r="B9" s="16">
        <f>Plan!$A$5+7*(A9-1)</f>
        <v>0</v>
      </c>
      <c r="C9" s="4">
        <f>SUMIFS(Plan!$E$5:$E$60,Plan!$C$5:$C$60,A9)</f>
        <v>0</v>
      </c>
      <c r="D9" s="18">
        <f>AVERAGEIFS(Plan!$K$5:$K$60,Plan!$C$5:$C$60,A9)</f>
        <v>0</v>
      </c>
      <c r="E9" s="18">
        <f>_xlfn.MAXIFS(Plan!$K$5:$K$60,Plan!$C$5:$C$60,A9)</f>
        <v>0</v>
      </c>
      <c r="F9" s="4">
        <f>_xlfn.MAXIFS(Plan!$R$5:$R$60,Plan!$C$5:$C$60,A9)</f>
        <v>0</v>
      </c>
      <c r="G9" s="4">
        <f>SUMIFS(Plan!$O$5:$O$60,Plan!$C$5:$C$60,A9)</f>
        <v>0</v>
      </c>
      <c r="H9" s="4">
        <f>SUMIFS(Plan!$S$5:$S$60,Plan!$C$5:$C$60,A9)</f>
        <v>0</v>
      </c>
      <c r="I9" s="5">
        <f>SUMIFS(Plan!$W$5:$W$60,Plan!$C$5:$C$60,A9)</f>
        <v>0</v>
      </c>
      <c r="J9" s="6">
        <f>I9/C9</f>
        <v>0</v>
      </c>
    </row>
    <row r="10" spans="1:10">
      <c r="A10" s="10">
        <v>6</v>
      </c>
      <c r="B10" s="16">
        <f>Plan!$A$5+7*(A10-1)</f>
        <v>0</v>
      </c>
      <c r="C10" s="4">
        <f>SUMIFS(Plan!$E$5:$E$60,Plan!$C$5:$C$60,A10)</f>
        <v>0</v>
      </c>
      <c r="D10" s="18">
        <f>AVERAGEIFS(Plan!$K$5:$K$60,Plan!$C$5:$C$60,A10)</f>
        <v>0</v>
      </c>
      <c r="E10" s="18">
        <f>_xlfn.MAXIFS(Plan!$K$5:$K$60,Plan!$C$5:$C$60,A10)</f>
        <v>0</v>
      </c>
      <c r="F10" s="4">
        <f>_xlfn.MAXIFS(Plan!$R$5:$R$60,Plan!$C$5:$C$60,A10)</f>
        <v>0</v>
      </c>
      <c r="G10" s="4">
        <f>SUMIFS(Plan!$O$5:$O$60,Plan!$C$5:$C$60,A10)</f>
        <v>0</v>
      </c>
      <c r="H10" s="4">
        <f>SUMIFS(Plan!$S$5:$S$60,Plan!$C$5:$C$60,A10)</f>
        <v>0</v>
      </c>
      <c r="I10" s="5">
        <f>SUMIFS(Plan!$W$5:$W$60,Plan!$C$5:$C$60,A10)</f>
        <v>0</v>
      </c>
      <c r="J10" s="6">
        <f>I10/C10</f>
        <v>0</v>
      </c>
    </row>
    <row r="11" spans="1:10">
      <c r="A11" s="10">
        <v>7</v>
      </c>
      <c r="B11" s="16">
        <f>Plan!$A$5+7*(A11-1)</f>
        <v>0</v>
      </c>
      <c r="C11" s="4">
        <f>SUMIFS(Plan!$E$5:$E$60,Plan!$C$5:$C$60,A11)</f>
        <v>0</v>
      </c>
      <c r="D11" s="18">
        <f>AVERAGEIFS(Plan!$K$5:$K$60,Plan!$C$5:$C$60,A11)</f>
        <v>0</v>
      </c>
      <c r="E11" s="18">
        <f>_xlfn.MAXIFS(Plan!$K$5:$K$60,Plan!$C$5:$C$60,A11)</f>
        <v>0</v>
      </c>
      <c r="F11" s="4">
        <f>_xlfn.MAXIFS(Plan!$R$5:$R$60,Plan!$C$5:$C$60,A11)</f>
        <v>0</v>
      </c>
      <c r="G11" s="4">
        <f>SUMIFS(Plan!$O$5:$O$60,Plan!$C$5:$C$60,A11)</f>
        <v>0</v>
      </c>
      <c r="H11" s="4">
        <f>SUMIFS(Plan!$S$5:$S$60,Plan!$C$5:$C$60,A11)</f>
        <v>0</v>
      </c>
      <c r="I11" s="5">
        <f>SUMIFS(Plan!$W$5:$W$60,Plan!$C$5:$C$60,A11)</f>
        <v>0</v>
      </c>
      <c r="J11" s="6">
        <f>I11/C11</f>
        <v>0</v>
      </c>
    </row>
    <row r="12" spans="1:10">
      <c r="A12" s="10">
        <v>8</v>
      </c>
      <c r="B12" s="16">
        <f>Plan!$A$5+7*(A12-1)</f>
        <v>0</v>
      </c>
      <c r="C12" s="4">
        <f>SUMIFS(Plan!$E$5:$E$60,Plan!$C$5:$C$60,A12)</f>
        <v>0</v>
      </c>
      <c r="D12" s="18">
        <f>AVERAGEIFS(Plan!$K$5:$K$60,Plan!$C$5:$C$60,A12)</f>
        <v>0</v>
      </c>
      <c r="E12" s="18">
        <f>_xlfn.MAXIFS(Plan!$K$5:$K$60,Plan!$C$5:$C$60,A12)</f>
        <v>0</v>
      </c>
      <c r="F12" s="4">
        <f>_xlfn.MAXIFS(Plan!$R$5:$R$60,Plan!$C$5:$C$60,A12)</f>
        <v>0</v>
      </c>
      <c r="G12" s="4">
        <f>SUMIFS(Plan!$O$5:$O$60,Plan!$C$5:$C$60,A12)</f>
        <v>0</v>
      </c>
      <c r="H12" s="4">
        <f>SUMIFS(Plan!$S$5:$S$60,Plan!$C$5:$C$60,A12)</f>
        <v>0</v>
      </c>
      <c r="I12" s="5">
        <f>SUMIFS(Plan!$W$5:$W$60,Plan!$C$5:$C$60,A12)</f>
        <v>0</v>
      </c>
      <c r="J12" s="6">
        <f>I12/C12</f>
        <v>0</v>
      </c>
    </row>
  </sheetData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39</vt:i4>
      </vt:variant>
    </vt:vector>
  </HeadingPairs>
  <TitlesOfParts>
    <vt:vector size="44" baseType="lpstr">
      <vt:lpstr>Dashboard</vt:lpstr>
      <vt:lpstr>Inputs</vt:lpstr>
      <vt:lpstr>Plan</vt:lpstr>
      <vt:lpstr>ShiftPlan</vt:lpstr>
      <vt:lpstr>Weekly</vt:lpstr>
      <vt:lpstr>AbsentPct</vt:lpstr>
      <vt:lpstr>AllowancePct</vt:lpstr>
      <vt:lpstr>CompareTop</vt:lpstr>
      <vt:lpstr>DemandMult</vt:lpstr>
      <vt:lpstr>EffShare</vt:lpstr>
      <vt:lpstr>FlexFactor</vt:lpstr>
      <vt:lpstr>FlexWage</vt:lpstr>
      <vt:lpstr>IndirectPct</vt:lpstr>
      <vt:lpstr>KPI_Cost</vt:lpstr>
      <vt:lpstr>KPI_CPU</vt:lpstr>
      <vt:lpstr>KPI_FlexDays</vt:lpstr>
      <vt:lpstr>KPI_FlexHC</vt:lpstr>
      <vt:lpstr>KPI_OT</vt:lpstr>
      <vt:lpstr>KPI_Units</vt:lpstr>
      <vt:lpstr>KPI_Util</vt:lpstr>
      <vt:lpstr>OTCapHrs</vt:lpstr>
      <vt:lpstr>OTEff</vt:lpstr>
      <vt:lpstr>OTMult</vt:lpstr>
      <vt:lpstr>OTTakeUp</vt:lpstr>
      <vt:lpstr>Plan!Print_Titles</vt:lpstr>
      <vt:lpstr>ShiftPlan!Print_Titles</vt:lpstr>
      <vt:lpstr>Roster</vt:lpstr>
      <vt:lpstr>Scenario</vt:lpstr>
      <vt:lpstr>ScenMult</vt:lpstr>
      <vt:lpstr>ScenName</vt:lpstr>
      <vt:lpstr>Share_Pack</vt:lpstr>
      <vt:lpstr>Share_Pick</vt:lpstr>
      <vt:lpstr>Share_Ship</vt:lpstr>
      <vt:lpstr>Share_Stow</vt:lpstr>
      <vt:lpstr>ShareA</vt:lpstr>
      <vt:lpstr>ShareB</vt:lpstr>
      <vt:lpstr>ShareC</vt:lpstr>
      <vt:lpstr>ShiftHrs</vt:lpstr>
      <vt:lpstr>UPH_Pack</vt:lpstr>
      <vt:lpstr>UPH_Pick</vt:lpstr>
      <vt:lpstr>UPH_Ship</vt:lpstr>
      <vt:lpstr>UPH_Stow</vt:lpstr>
      <vt:lpstr>Wage</vt:lpstr>
      <vt:lpstr>WorkDays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2026-09-29T20:57:39Z</dcterms:created>
  <dcterms:modified xsi:type="dcterms:W3CDTF">2026-09-29T20:57:39Z</dcterms:modified>
</cp:coreProperties>
</file>